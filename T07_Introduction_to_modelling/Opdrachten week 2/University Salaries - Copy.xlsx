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hannl-my.sharepoint.com/personal/tijmen_weber_han_nl/Documents/Han/Minor Data-Driven Decision Making in Business/Introduction to Modelling/2425sem1/Class 2/Data in slides/"/>
    </mc:Choice>
  </mc:AlternateContent>
  <xr:revisionPtr revIDLastSave="290" documentId="11_F25DC773A252ABDACC10487B115952245BDE58EF" xr6:coauthVersionLast="47" xr6:coauthVersionMax="47" xr10:uidLastSave="{8652F422-46E0-4B2C-84C6-433FA8E0A145}"/>
  <bookViews>
    <workbookView xWindow="-120" yWindow="-120" windowWidth="29040" windowHeight="15990" xr2:uid="{00000000-000D-0000-FFFF-FFFF00000000}"/>
  </bookViews>
  <sheets>
    <sheet name="Sheet1" sheetId="10" r:id="rId1"/>
    <sheet name="Data" sheetId="1" r:id="rId2"/>
    <sheet name="Description" sheetId="9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10" l="1"/>
  <c r="E18" i="10"/>
  <c r="F18" i="10"/>
  <c r="G18" i="10"/>
  <c r="D19" i="10"/>
  <c r="E19" i="10"/>
  <c r="F19" i="10"/>
  <c r="G19" i="10"/>
  <c r="D20" i="10"/>
  <c r="E20" i="10"/>
  <c r="F20" i="10"/>
  <c r="G20" i="10"/>
  <c r="G17" i="10"/>
  <c r="F17" i="10"/>
  <c r="E17" i="10"/>
  <c r="D17" i="10"/>
  <c r="A18" i="10" a="1"/>
  <c r="A18" i="10" s="1"/>
  <c r="C14" i="10"/>
  <c r="B14" i="10"/>
  <c r="B13" i="10" s="1"/>
  <c r="B12" i="10"/>
  <c r="B8" i="10"/>
  <c r="H20" i="10"/>
  <c r="H19" i="10"/>
  <c r="H18" i="10"/>
  <c r="B17" i="10" a="1"/>
  <c r="B17" i="10" l="1"/>
  <c r="C19" i="10"/>
  <c r="C20" i="10"/>
  <c r="C17" i="10"/>
  <c r="B18" i="10"/>
  <c r="C18" i="10"/>
  <c r="B19" i="10"/>
  <c r="B20" i="10"/>
  <c r="A19" i="10"/>
  <c r="A20" i="10"/>
  <c r="C12" i="10" l="1"/>
  <c r="D12" i="10"/>
  <c r="C13" i="10"/>
  <c r="D13" i="10"/>
  <c r="E12" i="10"/>
  <c r="F12" i="10"/>
  <c r="G12" i="10"/>
  <c r="E4" i="10"/>
  <c r="E5" i="10"/>
  <c r="E6" i="10"/>
  <c r="B7" i="10"/>
  <c r="B5" i="10"/>
  <c r="B6" i="10"/>
  <c r="B4" i="10"/>
</calcChain>
</file>

<file path=xl/sharedStrings.xml><?xml version="1.0" encoding="utf-8"?>
<sst xmlns="http://schemas.openxmlformats.org/spreadsheetml/2006/main" count="392" uniqueCount="52">
  <si>
    <t>Performance</t>
  </si>
  <si>
    <t>Department</t>
  </si>
  <si>
    <t>Age</t>
  </si>
  <si>
    <t>Student Approval</t>
  </si>
  <si>
    <t>Experience</t>
  </si>
  <si>
    <t>Gender</t>
  </si>
  <si>
    <t>Arts</t>
  </si>
  <si>
    <t>Male</t>
  </si>
  <si>
    <t>Business</t>
  </si>
  <si>
    <t>Female</t>
  </si>
  <si>
    <t>Philosophy</t>
  </si>
  <si>
    <t>Chemistry</t>
  </si>
  <si>
    <t>Variable</t>
  </si>
  <si>
    <t>Description</t>
  </si>
  <si>
    <t>Salary</t>
  </si>
  <si>
    <t>Yearly Salary in euros</t>
  </si>
  <si>
    <t>Perfomance</t>
  </si>
  <si>
    <t>Performance rating given by managers ranging from 1 to 20</t>
  </si>
  <si>
    <t>Department at which the employee works</t>
  </si>
  <si>
    <t>Age in years</t>
  </si>
  <si>
    <t>Average rating given by students ranging from 1 to 100</t>
  </si>
  <si>
    <t>Numbers of years worked at a university</t>
  </si>
  <si>
    <t>Male or female</t>
  </si>
  <si>
    <t>Student_Approval</t>
  </si>
  <si>
    <t>Regression Analysis</t>
  </si>
  <si>
    <t>OVERALL FIT</t>
  </si>
  <si>
    <t>Multiple R</t>
  </si>
  <si>
    <t>R Square</t>
  </si>
  <si>
    <t>Adjusted R Square</t>
  </si>
  <si>
    <t>Standard Error</t>
  </si>
  <si>
    <t>Observations</t>
  </si>
  <si>
    <t>AIC</t>
  </si>
  <si>
    <t>AICc</t>
  </si>
  <si>
    <t>SBC</t>
  </si>
  <si>
    <t>ANOVA</t>
  </si>
  <si>
    <t>Alpha</t>
  </si>
  <si>
    <t>df</t>
  </si>
  <si>
    <t>SS</t>
  </si>
  <si>
    <t>MS</t>
  </si>
  <si>
    <t>F</t>
  </si>
  <si>
    <t>p-value</t>
  </si>
  <si>
    <t>sig</t>
  </si>
  <si>
    <t>Regression</t>
  </si>
  <si>
    <t>Residual</t>
  </si>
  <si>
    <t>Total</t>
  </si>
  <si>
    <t>coeff</t>
  </si>
  <si>
    <t>std err</t>
  </si>
  <si>
    <t>t stat</t>
  </si>
  <si>
    <t>lower</t>
  </si>
  <si>
    <t>upper</t>
  </si>
  <si>
    <t>vif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</si>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</sst>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0" xfId="0" applyFont="1"/>
    <xf numFmtId="0" fontId="0" fillId="0" borderId="4" xfId="0" applyBorder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HAN\Han\Elective%20Advanced%20Quantitative%20Research\2223sem1\XRealStats.xlam" TargetMode="External"/><Relationship Id="rId1" Type="http://schemas.openxmlformats.org/officeDocument/2006/relationships/externalLinkPath" Target="file:///D:\OneDrive%20-%20HAN\Han\Elective%20Advanced%20Quantitative%20Research\2223sem1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Dict"/>
      <sheetName val="ADict"/>
    </sheetNames>
    <definedNames>
      <definedName name="DEsign"/>
      <definedName name="RegCoeff"/>
      <definedName name="VIF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5759-1C40-4D39-992C-17242DBC8C98}">
  <dimension ref="A1:H20"/>
  <sheetViews>
    <sheetView tabSelected="1" workbookViewId="0">
      <selection activeCell="H20" sqref="H20"/>
    </sheetView>
  </sheetViews>
  <sheetFormatPr defaultRowHeight="15" x14ac:dyDescent="0.25"/>
  <sheetData>
    <row r="1" spans="1:8" x14ac:dyDescent="0.25">
      <c r="A1" t="s">
        <v>24</v>
      </c>
    </row>
    <row r="3" spans="1:8" ht="15.75" thickBot="1" x14ac:dyDescent="0.3">
      <c r="A3" s="5" t="s">
        <v>25</v>
      </c>
      <c r="B3" s="5"/>
      <c r="D3" s="5"/>
      <c r="E3" s="5"/>
    </row>
    <row r="4" spans="1:8" ht="15.75" thickTop="1" x14ac:dyDescent="0.25">
      <c r="A4" t="s">
        <v>26</v>
      </c>
      <c r="B4">
        <f>SQRT(B5)</f>
        <v>0.36098402344939912</v>
      </c>
      <c r="D4" t="s">
        <v>31</v>
      </c>
      <c r="E4">
        <f>B8*LN(C13/B8)+2*(B12+1)</f>
        <v>3299.7731947502098</v>
      </c>
    </row>
    <row r="5" spans="1:8" x14ac:dyDescent="0.25">
      <c r="A5" t="s">
        <v>27</v>
      </c>
      <c r="B5">
        <f>C12/C14</f>
        <v>0.13030946518571634</v>
      </c>
      <c r="D5" t="s">
        <v>32</v>
      </c>
      <c r="E5">
        <f>E4+2*(B12+2)*(B12+3)/(B8-B12-3)</f>
        <v>3300.1390484087465</v>
      </c>
    </row>
    <row r="6" spans="1:8" x14ac:dyDescent="0.25">
      <c r="A6" t="s">
        <v>28</v>
      </c>
      <c r="B6">
        <f>1-(1-B5)*(B8-1)/(B8-B12-1)</f>
        <v>0.11459216636377156</v>
      </c>
      <c r="D6" s="1" t="s">
        <v>33</v>
      </c>
      <c r="E6" s="1">
        <f>B8*LN(C13/B8)+(B12+1)*LN(B8)</f>
        <v>3312.316388498411</v>
      </c>
    </row>
    <row r="7" spans="1:8" x14ac:dyDescent="0.25">
      <c r="A7" t="s">
        <v>29</v>
      </c>
      <c r="B7">
        <f>SQRT(D13)</f>
        <v>16213.365164796049</v>
      </c>
    </row>
    <row r="8" spans="1:8" x14ac:dyDescent="0.25">
      <c r="A8" s="1" t="s">
        <v>30</v>
      </c>
      <c r="B8" s="1">
        <f>COUNT(Data!A2:A171)</f>
        <v>170</v>
      </c>
    </row>
    <row r="10" spans="1:8" ht="15.75" thickBot="1" x14ac:dyDescent="0.3">
      <c r="A10" t="s">
        <v>34</v>
      </c>
      <c r="E10" s="6" t="s">
        <v>35</v>
      </c>
      <c r="F10" s="6">
        <v>0.05</v>
      </c>
    </row>
    <row r="11" spans="1:8" ht="15.75" thickTop="1" x14ac:dyDescent="0.25">
      <c r="A11" s="7"/>
      <c r="B11" s="7" t="s">
        <v>36</v>
      </c>
      <c r="C11" s="7" t="s">
        <v>37</v>
      </c>
      <c r="D11" s="7" t="s">
        <v>38</v>
      </c>
      <c r="E11" s="7" t="s">
        <v>39</v>
      </c>
      <c r="F11" s="7" t="s">
        <v>40</v>
      </c>
      <c r="G11" s="7" t="s">
        <v>41</v>
      </c>
    </row>
    <row r="12" spans="1:8" x14ac:dyDescent="0.25">
      <c r="A12" t="s">
        <v>42</v>
      </c>
      <c r="B12">
        <f>COUNT(Data!D2:F2)</f>
        <v>3</v>
      </c>
      <c r="C12">
        <f>DEVSQ(MMULT([1]!DEsign(Data!D2:F171),B17:B20))</f>
        <v>6538311918.0684509</v>
      </c>
      <c r="D12">
        <f>C12/B12</f>
        <v>2179437306.0228171</v>
      </c>
      <c r="E12">
        <f>D12/D13</f>
        <v>8.2908308012681555</v>
      </c>
      <c r="F12">
        <f>_xlfn.F.DIST.RT(E12,B12,B13)</f>
        <v>3.5895629142830749E-5</v>
      </c>
      <c r="G12" s="6" t="str">
        <f>IF(F12&lt;F10,"yes","no")</f>
        <v>yes</v>
      </c>
    </row>
    <row r="13" spans="1:8" x14ac:dyDescent="0.25">
      <c r="A13" t="s">
        <v>43</v>
      </c>
      <c r="B13">
        <f>B14-B12</f>
        <v>166</v>
      </c>
      <c r="C13">
        <f>C14-C12</f>
        <v>43636952854.52565</v>
      </c>
      <c r="D13">
        <f>C13/B13</f>
        <v>262873209.967022</v>
      </c>
    </row>
    <row r="14" spans="1:8" x14ac:dyDescent="0.25">
      <c r="A14" s="1" t="s">
        <v>44</v>
      </c>
      <c r="B14" s="1">
        <f>B8-1</f>
        <v>169</v>
      </c>
      <c r="C14" s="1">
        <f>DEVSQ(Data!A2:A171)</f>
        <v>50175264772.594101</v>
      </c>
      <c r="D14" s="1"/>
      <c r="E14" s="1"/>
      <c r="F14" s="1"/>
      <c r="G14" s="1"/>
    </row>
    <row r="15" spans="1:8" ht="15.75" thickBot="1" x14ac:dyDescent="0.3"/>
    <row r="16" spans="1:8" ht="15.75" thickTop="1" x14ac:dyDescent="0.25">
      <c r="A16" s="7"/>
      <c r="B16" s="7" t="s">
        <v>45</v>
      </c>
      <c r="C16" s="7" t="s">
        <v>46</v>
      </c>
      <c r="D16" s="7" t="s">
        <v>47</v>
      </c>
      <c r="E16" s="7" t="s">
        <v>40</v>
      </c>
      <c r="F16" s="7" t="s">
        <v>48</v>
      </c>
      <c r="G16" s="7" t="s">
        <v>49</v>
      </c>
      <c r="H16" s="7" t="s">
        <v>50</v>
      </c>
    </row>
    <row r="17" spans="1:8" x14ac:dyDescent="0.25">
      <c r="A17" t="s">
        <v>51</v>
      </c>
      <c r="B17">
        <f t="array" ref="B17:C20">[1]!RegCoeff(Data!D2:F171,Data!A2:A171)</f>
        <v>16691.58797220057</v>
      </c>
      <c r="C17">
        <v>19481.552677695214</v>
      </c>
      <c r="D17">
        <f>B17/C17</f>
        <v>0.85678940730997666</v>
      </c>
      <c r="E17">
        <f>_xlfn.T.DIST.2T(ABS(D17),$B$13)</f>
        <v>0.39279645646394634</v>
      </c>
      <c r="F17">
        <f>B17-_xlfn.T.INV.2T(F$10,$B$13)*C17</f>
        <v>-21771.966805119941</v>
      </c>
      <c r="G17">
        <f>B17+_xlfn.T.INV.2T(F$10,$B$13)*C17</f>
        <v>55155.142749521081</v>
      </c>
    </row>
    <row r="18" spans="1:8" x14ac:dyDescent="0.25">
      <c r="A18" t="str">
        <f t="array" ref="A18:A20">TRANSPOSE(Data!D1:F1)</f>
        <v>Age</v>
      </c>
      <c r="B18">
        <v>180.86138093898793</v>
      </c>
      <c r="C18">
        <v>459.30002354232141</v>
      </c>
      <c r="D18">
        <f t="shared" ref="D18:D20" si="0">B18/C18</f>
        <v>0.39377611946131935</v>
      </c>
      <c r="E18">
        <f t="shared" ref="E18:E20" si="1">_xlfn.T.DIST.2T(ABS(D18),$B$13)</f>
        <v>0.69425167432498425</v>
      </c>
      <c r="F18">
        <f t="shared" ref="F18:F20" si="2">B18-_xlfn.T.INV.2T(F$10,$B$13)*C18</f>
        <v>-725.96118639011229</v>
      </c>
      <c r="G18">
        <f t="shared" ref="G18:G20" si="3">B18+_xlfn.T.INV.2T(F$10,$B$13)*C18</f>
        <v>1087.6839482680882</v>
      </c>
      <c r="H18">
        <f>[1]!VIF(Data!D2:F171,1)</f>
        <v>8.1390598757080515</v>
      </c>
    </row>
    <row r="19" spans="1:8" x14ac:dyDescent="0.25">
      <c r="A19" t="str">
        <v>Student_Approval</v>
      </c>
      <c r="B19">
        <v>570.12103159957678</v>
      </c>
      <c r="C19">
        <v>179.67330848956902</v>
      </c>
      <c r="D19">
        <f t="shared" si="0"/>
        <v>3.1730980878146142</v>
      </c>
      <c r="E19">
        <f t="shared" si="1"/>
        <v>1.7973677123020383E-3</v>
      </c>
      <c r="F19">
        <f t="shared" si="2"/>
        <v>215.38164006107115</v>
      </c>
      <c r="G19">
        <f t="shared" si="3"/>
        <v>924.86042313808241</v>
      </c>
      <c r="H19">
        <f>[1]!VIF(Data!D2:F171,2)</f>
        <v>1.0310540044143222</v>
      </c>
    </row>
    <row r="20" spans="1:8" x14ac:dyDescent="0.25">
      <c r="A20" s="1" t="str">
        <v>Experience</v>
      </c>
      <c r="B20" s="1">
        <v>627.93398231731487</v>
      </c>
      <c r="C20" s="1">
        <v>546.26226223658409</v>
      </c>
      <c r="D20" s="1">
        <f t="shared" si="0"/>
        <v>1.1495100901650042</v>
      </c>
      <c r="E20" s="1">
        <f t="shared" si="1"/>
        <v>0.25199917794978632</v>
      </c>
      <c r="F20" s="1">
        <f t="shared" si="2"/>
        <v>-450.58315612288595</v>
      </c>
      <c r="G20" s="1">
        <f t="shared" si="3"/>
        <v>1706.4511207575156</v>
      </c>
      <c r="H20" s="1">
        <f>[1]!VIF(Data!D2:F171,3)</f>
        <v>8.2094313207671217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"/>
  <sheetViews>
    <sheetView workbookViewId="0">
      <selection activeCell="L13" sqref="L13"/>
    </sheetView>
  </sheetViews>
  <sheetFormatPr defaultRowHeight="15" x14ac:dyDescent="0.25"/>
  <cols>
    <col min="2" max="2" width="11.7109375" customWidth="1"/>
    <col min="3" max="3" width="12.42578125" customWidth="1"/>
    <col min="5" max="5" width="18.28515625" customWidth="1"/>
    <col min="6" max="6" width="12.7109375" customWidth="1"/>
    <col min="8" max="8" width="12.42578125" customWidth="1"/>
    <col min="11" max="11" width="11.7109375" customWidth="1"/>
    <col min="12" max="12" width="11.140625" customWidth="1"/>
    <col min="14" max="14" width="15" customWidth="1"/>
    <col min="15" max="15" width="18.28515625" customWidth="1"/>
    <col min="16" max="16" width="28.7109375" customWidth="1"/>
  </cols>
  <sheetData>
    <row r="1" spans="1:17" x14ac:dyDescent="0.25">
      <c r="A1" s="4" t="s">
        <v>14</v>
      </c>
      <c r="B1" s="4" t="s">
        <v>0</v>
      </c>
      <c r="C1" s="4" t="s">
        <v>1</v>
      </c>
      <c r="D1" s="4" t="s">
        <v>2</v>
      </c>
      <c r="E1" s="4" t="s">
        <v>23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>
        <v>111738</v>
      </c>
      <c r="B2">
        <v>16</v>
      </c>
      <c r="C2" t="s">
        <v>11</v>
      </c>
      <c r="D2">
        <v>46</v>
      </c>
      <c r="E2">
        <v>90.8</v>
      </c>
      <c r="F2">
        <v>16</v>
      </c>
      <c r="G2" t="s">
        <v>7</v>
      </c>
    </row>
    <row r="3" spans="1:17" x14ac:dyDescent="0.25">
      <c r="A3">
        <v>78130</v>
      </c>
      <c r="B3">
        <v>15</v>
      </c>
      <c r="C3" t="s">
        <v>10</v>
      </c>
      <c r="D3">
        <v>46</v>
      </c>
      <c r="E3">
        <v>79.8</v>
      </c>
      <c r="F3">
        <v>14</v>
      </c>
      <c r="G3" t="s">
        <v>9</v>
      </c>
    </row>
    <row r="4" spans="1:17" x14ac:dyDescent="0.25">
      <c r="A4">
        <v>78617</v>
      </c>
      <c r="B4">
        <v>12</v>
      </c>
      <c r="C4" t="s">
        <v>11</v>
      </c>
      <c r="D4">
        <v>37</v>
      </c>
      <c r="E4">
        <v>98</v>
      </c>
      <c r="F4">
        <v>10</v>
      </c>
      <c r="G4" t="s">
        <v>9</v>
      </c>
    </row>
    <row r="5" spans="1:17" x14ac:dyDescent="0.25">
      <c r="A5">
        <v>111677</v>
      </c>
      <c r="B5">
        <v>16</v>
      </c>
      <c r="C5" t="s">
        <v>11</v>
      </c>
      <c r="D5">
        <v>50</v>
      </c>
      <c r="E5">
        <v>80.900000000000006</v>
      </c>
      <c r="F5">
        <v>21</v>
      </c>
      <c r="G5" t="s">
        <v>9</v>
      </c>
    </row>
    <row r="6" spans="1:17" x14ac:dyDescent="0.25">
      <c r="A6">
        <v>97346</v>
      </c>
      <c r="B6">
        <v>18</v>
      </c>
      <c r="C6" t="s">
        <v>11</v>
      </c>
      <c r="D6">
        <v>43</v>
      </c>
      <c r="E6">
        <v>83.6</v>
      </c>
      <c r="F6">
        <v>13</v>
      </c>
      <c r="G6" t="s">
        <v>9</v>
      </c>
    </row>
    <row r="7" spans="1:17" x14ac:dyDescent="0.25">
      <c r="A7">
        <v>90158</v>
      </c>
      <c r="B7">
        <v>15</v>
      </c>
      <c r="C7" t="s">
        <v>11</v>
      </c>
      <c r="D7">
        <v>44</v>
      </c>
      <c r="E7">
        <v>88.2</v>
      </c>
      <c r="F7">
        <v>17</v>
      </c>
      <c r="G7" t="s">
        <v>9</v>
      </c>
    </row>
    <row r="8" spans="1:17" x14ac:dyDescent="0.25">
      <c r="A8">
        <v>89353</v>
      </c>
      <c r="B8">
        <v>15</v>
      </c>
      <c r="C8" t="s">
        <v>11</v>
      </c>
      <c r="D8">
        <v>41</v>
      </c>
      <c r="E8">
        <v>91.5</v>
      </c>
      <c r="F8">
        <v>15</v>
      </c>
      <c r="G8" t="s">
        <v>9</v>
      </c>
    </row>
    <row r="9" spans="1:17" x14ac:dyDescent="0.25">
      <c r="A9">
        <v>87259</v>
      </c>
      <c r="B9">
        <v>15</v>
      </c>
      <c r="C9" t="s">
        <v>11</v>
      </c>
      <c r="D9">
        <v>33</v>
      </c>
      <c r="E9">
        <v>90.4</v>
      </c>
      <c r="F9">
        <v>6</v>
      </c>
      <c r="G9" t="s">
        <v>7</v>
      </c>
    </row>
    <row r="10" spans="1:17" x14ac:dyDescent="0.25">
      <c r="A10">
        <v>105764</v>
      </c>
      <c r="B10">
        <v>16</v>
      </c>
      <c r="C10" t="s">
        <v>8</v>
      </c>
      <c r="D10">
        <v>50</v>
      </c>
      <c r="E10">
        <v>85.7</v>
      </c>
      <c r="F10">
        <v>19</v>
      </c>
      <c r="G10" t="s">
        <v>7</v>
      </c>
    </row>
    <row r="11" spans="1:17" x14ac:dyDescent="0.25">
      <c r="A11">
        <v>70206</v>
      </c>
      <c r="B11">
        <v>14</v>
      </c>
      <c r="C11" t="s">
        <v>6</v>
      </c>
      <c r="D11">
        <v>35</v>
      </c>
      <c r="E11">
        <v>88.5</v>
      </c>
      <c r="F11">
        <v>7</v>
      </c>
      <c r="G11" t="s">
        <v>9</v>
      </c>
    </row>
    <row r="12" spans="1:17" x14ac:dyDescent="0.25">
      <c r="A12">
        <v>75564</v>
      </c>
      <c r="B12">
        <v>14</v>
      </c>
      <c r="C12" t="s">
        <v>10</v>
      </c>
      <c r="D12">
        <v>38</v>
      </c>
      <c r="E12">
        <v>93.8</v>
      </c>
      <c r="F12">
        <v>9</v>
      </c>
      <c r="G12" t="s">
        <v>9</v>
      </c>
    </row>
    <row r="13" spans="1:17" x14ac:dyDescent="0.25">
      <c r="A13">
        <v>58908</v>
      </c>
      <c r="B13">
        <v>13</v>
      </c>
      <c r="C13" t="s">
        <v>6</v>
      </c>
      <c r="D13">
        <v>33</v>
      </c>
      <c r="E13">
        <v>83.5</v>
      </c>
      <c r="F13">
        <v>8</v>
      </c>
      <c r="G13" t="s">
        <v>9</v>
      </c>
    </row>
    <row r="14" spans="1:17" x14ac:dyDescent="0.25">
      <c r="A14">
        <v>80801</v>
      </c>
      <c r="B14">
        <v>17</v>
      </c>
      <c r="C14" t="s">
        <v>8</v>
      </c>
      <c r="D14">
        <v>45</v>
      </c>
      <c r="E14">
        <v>71.3</v>
      </c>
      <c r="F14">
        <v>15</v>
      </c>
      <c r="G14" t="s">
        <v>7</v>
      </c>
    </row>
    <row r="15" spans="1:17" x14ac:dyDescent="0.25">
      <c r="A15">
        <v>74561</v>
      </c>
      <c r="B15">
        <v>19</v>
      </c>
      <c r="C15" t="s">
        <v>6</v>
      </c>
      <c r="D15">
        <v>49</v>
      </c>
      <c r="E15">
        <v>95.1</v>
      </c>
      <c r="F15">
        <v>18</v>
      </c>
      <c r="G15" t="s">
        <v>9</v>
      </c>
    </row>
    <row r="16" spans="1:17" x14ac:dyDescent="0.25">
      <c r="A16">
        <v>94076</v>
      </c>
      <c r="B16">
        <v>18</v>
      </c>
      <c r="C16" t="s">
        <v>8</v>
      </c>
      <c r="D16">
        <v>58</v>
      </c>
      <c r="E16">
        <v>78.7</v>
      </c>
      <c r="F16">
        <v>26</v>
      </c>
      <c r="G16" t="s">
        <v>7</v>
      </c>
    </row>
    <row r="17" spans="1:7" x14ac:dyDescent="0.25">
      <c r="A17">
        <v>106076</v>
      </c>
      <c r="B17">
        <v>19</v>
      </c>
      <c r="C17" t="s">
        <v>11</v>
      </c>
      <c r="D17">
        <v>50</v>
      </c>
      <c r="E17">
        <v>84.8</v>
      </c>
      <c r="F17">
        <v>22</v>
      </c>
      <c r="G17" t="s">
        <v>7</v>
      </c>
    </row>
    <row r="18" spans="1:7" x14ac:dyDescent="0.25">
      <c r="A18">
        <v>92867</v>
      </c>
      <c r="B18">
        <v>14</v>
      </c>
      <c r="C18" t="s">
        <v>8</v>
      </c>
      <c r="D18">
        <v>38</v>
      </c>
      <c r="E18">
        <v>79.599999999999994</v>
      </c>
      <c r="F18">
        <v>10</v>
      </c>
      <c r="G18" t="s">
        <v>9</v>
      </c>
    </row>
    <row r="19" spans="1:7" x14ac:dyDescent="0.25">
      <c r="A19">
        <v>80252</v>
      </c>
      <c r="B19">
        <v>19</v>
      </c>
      <c r="C19" t="s">
        <v>6</v>
      </c>
      <c r="D19">
        <v>56</v>
      </c>
      <c r="E19">
        <v>97.5</v>
      </c>
      <c r="F19">
        <v>24</v>
      </c>
      <c r="G19" t="s">
        <v>7</v>
      </c>
    </row>
    <row r="20" spans="1:7" x14ac:dyDescent="0.25">
      <c r="A20">
        <v>113276</v>
      </c>
      <c r="B20">
        <v>18</v>
      </c>
      <c r="C20" t="s">
        <v>8</v>
      </c>
      <c r="D20">
        <v>49</v>
      </c>
      <c r="E20">
        <v>94.5</v>
      </c>
      <c r="F20">
        <v>23</v>
      </c>
      <c r="G20" t="s">
        <v>7</v>
      </c>
    </row>
    <row r="21" spans="1:7" x14ac:dyDescent="0.25">
      <c r="A21">
        <v>65699</v>
      </c>
      <c r="B21">
        <v>12</v>
      </c>
      <c r="C21" t="s">
        <v>10</v>
      </c>
      <c r="D21">
        <v>52</v>
      </c>
      <c r="E21">
        <v>81.099999999999994</v>
      </c>
      <c r="F21">
        <v>19</v>
      </c>
      <c r="G21" t="s">
        <v>7</v>
      </c>
    </row>
    <row r="22" spans="1:7" x14ac:dyDescent="0.25">
      <c r="A22">
        <v>78566</v>
      </c>
      <c r="B22">
        <v>13</v>
      </c>
      <c r="C22" t="s">
        <v>8</v>
      </c>
      <c r="D22">
        <v>38</v>
      </c>
      <c r="E22">
        <v>97</v>
      </c>
      <c r="F22">
        <v>10</v>
      </c>
      <c r="G22" t="s">
        <v>9</v>
      </c>
    </row>
    <row r="23" spans="1:7" x14ac:dyDescent="0.25">
      <c r="A23">
        <v>108409</v>
      </c>
      <c r="B23">
        <v>20</v>
      </c>
      <c r="C23" t="s">
        <v>8</v>
      </c>
      <c r="D23">
        <v>41</v>
      </c>
      <c r="E23">
        <v>88.9</v>
      </c>
      <c r="F23">
        <v>14</v>
      </c>
      <c r="G23" t="s">
        <v>9</v>
      </c>
    </row>
    <row r="24" spans="1:7" x14ac:dyDescent="0.25">
      <c r="A24">
        <v>74535</v>
      </c>
      <c r="B24">
        <v>13</v>
      </c>
      <c r="C24" t="s">
        <v>6</v>
      </c>
      <c r="D24">
        <v>43</v>
      </c>
      <c r="E24">
        <v>77.7</v>
      </c>
      <c r="F24">
        <v>14</v>
      </c>
      <c r="G24" t="s">
        <v>7</v>
      </c>
    </row>
    <row r="25" spans="1:7" x14ac:dyDescent="0.25">
      <c r="A25">
        <v>105742</v>
      </c>
      <c r="B25">
        <v>18</v>
      </c>
      <c r="C25" t="s">
        <v>11</v>
      </c>
      <c r="D25">
        <v>32</v>
      </c>
      <c r="E25">
        <v>100.4</v>
      </c>
      <c r="F25">
        <v>7</v>
      </c>
      <c r="G25" t="s">
        <v>7</v>
      </c>
    </row>
    <row r="26" spans="1:7" x14ac:dyDescent="0.25">
      <c r="A26">
        <v>100705</v>
      </c>
      <c r="B26">
        <v>14</v>
      </c>
      <c r="C26" t="s">
        <v>11</v>
      </c>
      <c r="D26">
        <v>52</v>
      </c>
      <c r="E26">
        <v>87.6</v>
      </c>
      <c r="F26">
        <v>22</v>
      </c>
      <c r="G26" t="s">
        <v>7</v>
      </c>
    </row>
    <row r="27" spans="1:7" x14ac:dyDescent="0.25">
      <c r="A27">
        <v>76582</v>
      </c>
      <c r="B27">
        <v>18</v>
      </c>
      <c r="C27" t="s">
        <v>10</v>
      </c>
      <c r="D27">
        <v>49</v>
      </c>
      <c r="E27">
        <v>87.6</v>
      </c>
      <c r="F27">
        <v>19</v>
      </c>
      <c r="G27" t="s">
        <v>9</v>
      </c>
    </row>
    <row r="28" spans="1:7" x14ac:dyDescent="0.25">
      <c r="A28">
        <v>66556</v>
      </c>
      <c r="B28">
        <v>14</v>
      </c>
      <c r="C28" t="s">
        <v>10</v>
      </c>
      <c r="D28">
        <v>53</v>
      </c>
      <c r="E28">
        <v>75.599999999999994</v>
      </c>
      <c r="F28">
        <v>28</v>
      </c>
      <c r="G28" t="s">
        <v>9</v>
      </c>
    </row>
    <row r="29" spans="1:7" x14ac:dyDescent="0.25">
      <c r="A29">
        <v>120263</v>
      </c>
      <c r="B29">
        <v>18</v>
      </c>
      <c r="C29" t="s">
        <v>8</v>
      </c>
      <c r="D29">
        <v>48</v>
      </c>
      <c r="E29">
        <v>78.8</v>
      </c>
      <c r="F29">
        <v>18</v>
      </c>
      <c r="G29" t="s">
        <v>7</v>
      </c>
    </row>
    <row r="30" spans="1:7" x14ac:dyDescent="0.25">
      <c r="A30">
        <v>62931</v>
      </c>
      <c r="B30">
        <v>12</v>
      </c>
      <c r="C30" t="s">
        <v>6</v>
      </c>
      <c r="D30">
        <v>53</v>
      </c>
      <c r="E30">
        <v>77.8</v>
      </c>
      <c r="F30">
        <v>22</v>
      </c>
      <c r="G30" t="s">
        <v>7</v>
      </c>
    </row>
    <row r="31" spans="1:7" x14ac:dyDescent="0.25">
      <c r="A31">
        <v>94515</v>
      </c>
      <c r="B31">
        <v>11</v>
      </c>
      <c r="C31" t="s">
        <v>11</v>
      </c>
      <c r="D31">
        <v>45</v>
      </c>
      <c r="E31">
        <v>84.7</v>
      </c>
      <c r="F31">
        <v>16</v>
      </c>
      <c r="G31" t="s">
        <v>7</v>
      </c>
    </row>
    <row r="32" spans="1:7" x14ac:dyDescent="0.25">
      <c r="A32">
        <v>82395</v>
      </c>
      <c r="B32">
        <v>15</v>
      </c>
      <c r="C32" t="s">
        <v>6</v>
      </c>
      <c r="D32">
        <v>59</v>
      </c>
      <c r="E32">
        <v>82.3</v>
      </c>
      <c r="F32">
        <v>26</v>
      </c>
      <c r="G32" t="s">
        <v>9</v>
      </c>
    </row>
    <row r="33" spans="1:7" x14ac:dyDescent="0.25">
      <c r="A33">
        <v>74506</v>
      </c>
      <c r="B33">
        <v>19</v>
      </c>
      <c r="C33" t="s">
        <v>10</v>
      </c>
      <c r="D33">
        <v>48</v>
      </c>
      <c r="E33">
        <v>97.1</v>
      </c>
      <c r="F33">
        <v>17</v>
      </c>
      <c r="G33" t="s">
        <v>9</v>
      </c>
    </row>
    <row r="34" spans="1:7" x14ac:dyDescent="0.25">
      <c r="A34">
        <v>120250</v>
      </c>
      <c r="B34">
        <v>19</v>
      </c>
      <c r="C34" t="s">
        <v>11</v>
      </c>
      <c r="D34">
        <v>48</v>
      </c>
      <c r="E34">
        <v>80.8</v>
      </c>
      <c r="F34">
        <v>17</v>
      </c>
      <c r="G34" t="s">
        <v>7</v>
      </c>
    </row>
    <row r="35" spans="1:7" x14ac:dyDescent="0.25">
      <c r="A35">
        <v>95684</v>
      </c>
      <c r="B35">
        <v>14</v>
      </c>
      <c r="C35" t="s">
        <v>10</v>
      </c>
      <c r="D35">
        <v>48</v>
      </c>
      <c r="E35">
        <v>88</v>
      </c>
      <c r="F35">
        <v>20</v>
      </c>
      <c r="G35" t="s">
        <v>7</v>
      </c>
    </row>
    <row r="36" spans="1:7" x14ac:dyDescent="0.25">
      <c r="A36">
        <v>70282</v>
      </c>
      <c r="B36">
        <v>15</v>
      </c>
      <c r="C36" t="s">
        <v>10</v>
      </c>
      <c r="D36">
        <v>37</v>
      </c>
      <c r="E36">
        <v>87.5</v>
      </c>
      <c r="F36">
        <v>7</v>
      </c>
      <c r="G36" t="s">
        <v>9</v>
      </c>
    </row>
    <row r="37" spans="1:7" x14ac:dyDescent="0.25">
      <c r="A37">
        <v>59949</v>
      </c>
      <c r="B37">
        <v>14</v>
      </c>
      <c r="C37" t="s">
        <v>10</v>
      </c>
      <c r="D37">
        <v>34</v>
      </c>
      <c r="E37">
        <v>86.3</v>
      </c>
      <c r="F37">
        <v>10</v>
      </c>
      <c r="G37" t="s">
        <v>9</v>
      </c>
    </row>
    <row r="38" spans="1:7" x14ac:dyDescent="0.25">
      <c r="A38">
        <v>79548</v>
      </c>
      <c r="B38">
        <v>13</v>
      </c>
      <c r="C38" t="s">
        <v>8</v>
      </c>
      <c r="D38">
        <v>34</v>
      </c>
      <c r="E38">
        <v>91.9</v>
      </c>
      <c r="F38">
        <v>6</v>
      </c>
      <c r="G38" t="s">
        <v>7</v>
      </c>
    </row>
    <row r="39" spans="1:7" x14ac:dyDescent="0.25">
      <c r="A39">
        <v>73029</v>
      </c>
      <c r="B39">
        <v>14</v>
      </c>
      <c r="C39" t="s">
        <v>10</v>
      </c>
      <c r="D39">
        <v>40</v>
      </c>
      <c r="E39">
        <v>95.1</v>
      </c>
      <c r="F39">
        <v>13</v>
      </c>
      <c r="G39" t="s">
        <v>9</v>
      </c>
    </row>
    <row r="40" spans="1:7" x14ac:dyDescent="0.25">
      <c r="A40">
        <v>94010</v>
      </c>
      <c r="B40">
        <v>17</v>
      </c>
      <c r="C40" t="s">
        <v>11</v>
      </c>
      <c r="D40">
        <v>36</v>
      </c>
      <c r="E40">
        <v>95.7</v>
      </c>
      <c r="F40">
        <v>13</v>
      </c>
      <c r="G40" t="s">
        <v>9</v>
      </c>
    </row>
    <row r="41" spans="1:7" x14ac:dyDescent="0.25">
      <c r="A41">
        <v>63487</v>
      </c>
      <c r="B41">
        <v>16</v>
      </c>
      <c r="C41" t="s">
        <v>10</v>
      </c>
      <c r="D41">
        <v>57</v>
      </c>
      <c r="E41">
        <v>83</v>
      </c>
      <c r="F41">
        <v>26</v>
      </c>
      <c r="G41" t="s">
        <v>9</v>
      </c>
    </row>
    <row r="42" spans="1:7" x14ac:dyDescent="0.25">
      <c r="A42">
        <v>103759</v>
      </c>
      <c r="B42">
        <v>13</v>
      </c>
      <c r="C42" t="s">
        <v>11</v>
      </c>
      <c r="D42">
        <v>55</v>
      </c>
      <c r="E42">
        <v>83.8</v>
      </c>
      <c r="F42">
        <v>23</v>
      </c>
      <c r="G42" t="s">
        <v>9</v>
      </c>
    </row>
    <row r="43" spans="1:7" x14ac:dyDescent="0.25">
      <c r="A43">
        <v>103208</v>
      </c>
      <c r="B43">
        <v>12</v>
      </c>
      <c r="C43" t="s">
        <v>11</v>
      </c>
      <c r="D43">
        <v>47</v>
      </c>
      <c r="E43">
        <v>91.9</v>
      </c>
      <c r="F43">
        <v>24</v>
      </c>
      <c r="G43" t="s">
        <v>7</v>
      </c>
    </row>
    <row r="44" spans="1:7" x14ac:dyDescent="0.25">
      <c r="A44">
        <v>76675</v>
      </c>
      <c r="B44">
        <v>17</v>
      </c>
      <c r="C44" t="s">
        <v>6</v>
      </c>
      <c r="D44">
        <v>48</v>
      </c>
      <c r="E44">
        <v>85.6</v>
      </c>
      <c r="F44">
        <v>20</v>
      </c>
      <c r="G44" t="s">
        <v>9</v>
      </c>
    </row>
    <row r="45" spans="1:7" x14ac:dyDescent="0.25">
      <c r="A45">
        <v>94613</v>
      </c>
      <c r="B45">
        <v>12</v>
      </c>
      <c r="C45" t="s">
        <v>8</v>
      </c>
      <c r="D45">
        <v>44</v>
      </c>
      <c r="E45">
        <v>82.7</v>
      </c>
      <c r="F45">
        <v>16</v>
      </c>
      <c r="G45" t="s">
        <v>7</v>
      </c>
    </row>
    <row r="46" spans="1:7" x14ac:dyDescent="0.25">
      <c r="A46">
        <v>105807</v>
      </c>
      <c r="B46">
        <v>16</v>
      </c>
      <c r="C46" t="s">
        <v>11</v>
      </c>
      <c r="D46">
        <v>50</v>
      </c>
      <c r="E46">
        <v>86.7</v>
      </c>
      <c r="F46">
        <v>18</v>
      </c>
      <c r="G46" t="s">
        <v>7</v>
      </c>
    </row>
    <row r="47" spans="1:7" x14ac:dyDescent="0.25">
      <c r="A47">
        <v>70715</v>
      </c>
      <c r="B47">
        <v>15</v>
      </c>
      <c r="C47" t="s">
        <v>11</v>
      </c>
      <c r="D47">
        <v>37</v>
      </c>
      <c r="E47">
        <v>92.9</v>
      </c>
      <c r="F47">
        <v>15</v>
      </c>
      <c r="G47" t="s">
        <v>9</v>
      </c>
    </row>
    <row r="48" spans="1:7" x14ac:dyDescent="0.25">
      <c r="A48">
        <v>55357</v>
      </c>
      <c r="B48">
        <v>15</v>
      </c>
      <c r="C48" t="s">
        <v>6</v>
      </c>
      <c r="D48">
        <v>35</v>
      </c>
      <c r="E48">
        <v>87.5</v>
      </c>
      <c r="F48">
        <v>11</v>
      </c>
      <c r="G48" t="s">
        <v>9</v>
      </c>
    </row>
    <row r="49" spans="1:7" x14ac:dyDescent="0.25">
      <c r="A49">
        <v>114377</v>
      </c>
      <c r="B49">
        <v>14</v>
      </c>
      <c r="C49" t="s">
        <v>8</v>
      </c>
      <c r="D49">
        <v>49</v>
      </c>
      <c r="E49">
        <v>86.6</v>
      </c>
      <c r="F49">
        <v>23</v>
      </c>
      <c r="G49" t="s">
        <v>7</v>
      </c>
    </row>
    <row r="50" spans="1:7" x14ac:dyDescent="0.25">
      <c r="A50">
        <v>125407</v>
      </c>
      <c r="B50">
        <v>17</v>
      </c>
      <c r="C50" t="s">
        <v>8</v>
      </c>
      <c r="D50">
        <v>58</v>
      </c>
      <c r="E50">
        <v>88.6</v>
      </c>
      <c r="F50">
        <v>30</v>
      </c>
      <c r="G50" t="s">
        <v>7</v>
      </c>
    </row>
    <row r="51" spans="1:7" x14ac:dyDescent="0.25">
      <c r="A51">
        <v>74162</v>
      </c>
      <c r="B51">
        <v>16</v>
      </c>
      <c r="C51" t="s">
        <v>6</v>
      </c>
      <c r="D51">
        <v>40</v>
      </c>
      <c r="E51">
        <v>87.8</v>
      </c>
      <c r="F51">
        <v>14</v>
      </c>
      <c r="G51" t="s">
        <v>9</v>
      </c>
    </row>
    <row r="52" spans="1:7" x14ac:dyDescent="0.25">
      <c r="A52">
        <v>103295</v>
      </c>
      <c r="B52">
        <v>13</v>
      </c>
      <c r="C52" t="s">
        <v>8</v>
      </c>
      <c r="D52">
        <v>48</v>
      </c>
      <c r="E52">
        <v>90.9</v>
      </c>
      <c r="F52">
        <v>24</v>
      </c>
      <c r="G52" t="s">
        <v>7</v>
      </c>
    </row>
    <row r="53" spans="1:7" x14ac:dyDescent="0.25">
      <c r="A53">
        <v>72382</v>
      </c>
      <c r="B53">
        <v>15</v>
      </c>
      <c r="C53" t="s">
        <v>10</v>
      </c>
      <c r="D53">
        <v>39</v>
      </c>
      <c r="E53">
        <v>84.9</v>
      </c>
      <c r="F53">
        <v>18</v>
      </c>
      <c r="G53" t="s">
        <v>9</v>
      </c>
    </row>
    <row r="54" spans="1:7" x14ac:dyDescent="0.25">
      <c r="A54">
        <v>95754</v>
      </c>
      <c r="B54">
        <v>15</v>
      </c>
      <c r="C54" t="s">
        <v>6</v>
      </c>
      <c r="D54">
        <v>48</v>
      </c>
      <c r="E54">
        <v>86</v>
      </c>
      <c r="F54">
        <v>20</v>
      </c>
      <c r="G54" t="s">
        <v>7</v>
      </c>
    </row>
    <row r="55" spans="1:7" x14ac:dyDescent="0.25">
      <c r="A55">
        <v>125366</v>
      </c>
      <c r="B55">
        <v>17</v>
      </c>
      <c r="C55" t="s">
        <v>11</v>
      </c>
      <c r="D55">
        <v>60</v>
      </c>
      <c r="E55">
        <v>86.6</v>
      </c>
      <c r="F55">
        <v>29</v>
      </c>
      <c r="G55" t="s">
        <v>7</v>
      </c>
    </row>
    <row r="56" spans="1:7" x14ac:dyDescent="0.25">
      <c r="A56">
        <v>80235</v>
      </c>
      <c r="B56">
        <v>20</v>
      </c>
      <c r="C56" t="s">
        <v>10</v>
      </c>
      <c r="D56">
        <v>54</v>
      </c>
      <c r="E56">
        <v>96.5</v>
      </c>
      <c r="F56">
        <v>24</v>
      </c>
      <c r="G56" t="s">
        <v>7</v>
      </c>
    </row>
    <row r="57" spans="1:7" x14ac:dyDescent="0.25">
      <c r="A57">
        <v>104780</v>
      </c>
      <c r="B57">
        <v>15</v>
      </c>
      <c r="C57" t="s">
        <v>11</v>
      </c>
      <c r="D57">
        <v>45</v>
      </c>
      <c r="E57">
        <v>75.7</v>
      </c>
      <c r="F57">
        <v>23</v>
      </c>
      <c r="G57" t="s">
        <v>7</v>
      </c>
    </row>
    <row r="58" spans="1:7" x14ac:dyDescent="0.25">
      <c r="A58">
        <v>73952</v>
      </c>
      <c r="B58">
        <v>14</v>
      </c>
      <c r="C58" t="s">
        <v>8</v>
      </c>
      <c r="D58">
        <v>33</v>
      </c>
      <c r="E58">
        <v>97.2</v>
      </c>
      <c r="F58">
        <v>6</v>
      </c>
      <c r="G58" t="s">
        <v>9</v>
      </c>
    </row>
    <row r="59" spans="1:7" x14ac:dyDescent="0.25">
      <c r="A59">
        <v>113252</v>
      </c>
      <c r="B59">
        <v>18</v>
      </c>
      <c r="C59" t="s">
        <v>11</v>
      </c>
      <c r="D59">
        <v>47</v>
      </c>
      <c r="E59">
        <v>92.5</v>
      </c>
      <c r="F59">
        <v>23</v>
      </c>
      <c r="G59" t="s">
        <v>7</v>
      </c>
    </row>
    <row r="60" spans="1:7" x14ac:dyDescent="0.25">
      <c r="A60">
        <v>70693</v>
      </c>
      <c r="B60">
        <v>15</v>
      </c>
      <c r="C60" t="s">
        <v>11</v>
      </c>
      <c r="D60">
        <v>33</v>
      </c>
      <c r="E60">
        <v>93.5</v>
      </c>
      <c r="F60">
        <v>8</v>
      </c>
      <c r="G60" t="s">
        <v>7</v>
      </c>
    </row>
    <row r="61" spans="1:7" x14ac:dyDescent="0.25">
      <c r="A61">
        <v>76831</v>
      </c>
      <c r="B61">
        <v>14</v>
      </c>
      <c r="C61" t="s">
        <v>8</v>
      </c>
      <c r="D61">
        <v>40</v>
      </c>
      <c r="E61">
        <v>78.400000000000006</v>
      </c>
      <c r="F61">
        <v>14</v>
      </c>
      <c r="G61" t="s">
        <v>9</v>
      </c>
    </row>
    <row r="62" spans="1:7" x14ac:dyDescent="0.25">
      <c r="A62">
        <v>66569</v>
      </c>
      <c r="B62">
        <v>15</v>
      </c>
      <c r="C62" t="s">
        <v>6</v>
      </c>
      <c r="D62">
        <v>55</v>
      </c>
      <c r="E62">
        <v>76.599999999999994</v>
      </c>
      <c r="F62">
        <v>29</v>
      </c>
      <c r="G62" t="s">
        <v>9</v>
      </c>
    </row>
    <row r="63" spans="1:7" x14ac:dyDescent="0.25">
      <c r="A63">
        <v>60705</v>
      </c>
      <c r="B63">
        <v>14</v>
      </c>
      <c r="C63" t="s">
        <v>6</v>
      </c>
      <c r="D63">
        <v>55</v>
      </c>
      <c r="E63">
        <v>89.2</v>
      </c>
      <c r="F63">
        <v>29</v>
      </c>
      <c r="G63" t="s">
        <v>9</v>
      </c>
    </row>
    <row r="64" spans="1:7" x14ac:dyDescent="0.25">
      <c r="A64">
        <v>74439</v>
      </c>
      <c r="B64">
        <v>14</v>
      </c>
      <c r="C64" t="s">
        <v>10</v>
      </c>
      <c r="D64">
        <v>42</v>
      </c>
      <c r="E64">
        <v>75.7</v>
      </c>
      <c r="F64">
        <v>13</v>
      </c>
      <c r="G64" t="s">
        <v>7</v>
      </c>
    </row>
    <row r="65" spans="1:7" x14ac:dyDescent="0.25">
      <c r="A65">
        <v>68685</v>
      </c>
      <c r="B65">
        <v>17</v>
      </c>
      <c r="C65" t="s">
        <v>10</v>
      </c>
      <c r="D65">
        <v>37</v>
      </c>
      <c r="E65">
        <v>84.8</v>
      </c>
      <c r="F65">
        <v>9</v>
      </c>
      <c r="G65" t="s">
        <v>9</v>
      </c>
    </row>
    <row r="66" spans="1:7" x14ac:dyDescent="0.25">
      <c r="A66">
        <v>102959</v>
      </c>
      <c r="B66">
        <v>17</v>
      </c>
      <c r="C66" t="s">
        <v>10</v>
      </c>
      <c r="D66">
        <v>46</v>
      </c>
      <c r="E66">
        <v>93.7</v>
      </c>
      <c r="F66">
        <v>20</v>
      </c>
      <c r="G66" t="s">
        <v>7</v>
      </c>
    </row>
    <row r="67" spans="1:7" x14ac:dyDescent="0.25">
      <c r="A67">
        <v>68324</v>
      </c>
      <c r="B67">
        <v>13</v>
      </c>
      <c r="C67" t="s">
        <v>10</v>
      </c>
      <c r="D67">
        <v>38</v>
      </c>
      <c r="E67">
        <v>78.900000000000006</v>
      </c>
      <c r="F67">
        <v>9</v>
      </c>
      <c r="G67" t="s">
        <v>9</v>
      </c>
    </row>
    <row r="68" spans="1:7" x14ac:dyDescent="0.25">
      <c r="A68">
        <v>63864</v>
      </c>
      <c r="B68">
        <v>16</v>
      </c>
      <c r="C68" t="s">
        <v>6</v>
      </c>
      <c r="D68">
        <v>59</v>
      </c>
      <c r="E68">
        <v>75.2</v>
      </c>
      <c r="F68">
        <v>26</v>
      </c>
      <c r="G68" t="s">
        <v>7</v>
      </c>
    </row>
    <row r="69" spans="1:7" x14ac:dyDescent="0.25">
      <c r="A69">
        <v>62878</v>
      </c>
      <c r="B69">
        <v>11</v>
      </c>
      <c r="C69" t="s">
        <v>10</v>
      </c>
      <c r="D69">
        <v>51</v>
      </c>
      <c r="E69">
        <v>76.8</v>
      </c>
      <c r="F69">
        <v>22</v>
      </c>
      <c r="G69" t="s">
        <v>7</v>
      </c>
    </row>
    <row r="70" spans="1:7" x14ac:dyDescent="0.25">
      <c r="A70">
        <v>60754</v>
      </c>
      <c r="B70">
        <v>15</v>
      </c>
      <c r="C70" t="s">
        <v>10</v>
      </c>
      <c r="D70">
        <v>54</v>
      </c>
      <c r="E70">
        <v>91.2</v>
      </c>
      <c r="F70">
        <v>29</v>
      </c>
      <c r="G70" t="s">
        <v>9</v>
      </c>
    </row>
    <row r="71" spans="1:7" x14ac:dyDescent="0.25">
      <c r="A71">
        <v>75875</v>
      </c>
      <c r="B71">
        <v>12</v>
      </c>
      <c r="C71" t="s">
        <v>10</v>
      </c>
      <c r="D71">
        <v>44</v>
      </c>
      <c r="E71">
        <v>75.3</v>
      </c>
      <c r="F71">
        <v>19</v>
      </c>
      <c r="G71" t="s">
        <v>9</v>
      </c>
    </row>
    <row r="72" spans="1:7" x14ac:dyDescent="0.25">
      <c r="A72">
        <v>55395</v>
      </c>
      <c r="B72">
        <v>14</v>
      </c>
      <c r="C72" t="s">
        <v>10</v>
      </c>
      <c r="D72">
        <v>33</v>
      </c>
      <c r="E72">
        <v>87.5</v>
      </c>
      <c r="F72">
        <v>12</v>
      </c>
      <c r="G72" t="s">
        <v>9</v>
      </c>
    </row>
    <row r="73" spans="1:7" x14ac:dyDescent="0.25">
      <c r="A73">
        <v>65681</v>
      </c>
      <c r="B73">
        <v>12</v>
      </c>
      <c r="C73" t="s">
        <v>6</v>
      </c>
      <c r="D73">
        <v>50</v>
      </c>
      <c r="E73">
        <v>79.099999999999994</v>
      </c>
      <c r="F73">
        <v>19</v>
      </c>
      <c r="G73" t="s">
        <v>7</v>
      </c>
    </row>
    <row r="74" spans="1:7" x14ac:dyDescent="0.25">
      <c r="A74">
        <v>106118</v>
      </c>
      <c r="B74">
        <v>18</v>
      </c>
      <c r="C74" t="s">
        <v>8</v>
      </c>
      <c r="D74">
        <v>48</v>
      </c>
      <c r="E74">
        <v>82.8</v>
      </c>
      <c r="F74">
        <v>22</v>
      </c>
      <c r="G74" t="s">
        <v>7</v>
      </c>
    </row>
    <row r="75" spans="1:7" x14ac:dyDescent="0.25">
      <c r="A75">
        <v>105763</v>
      </c>
      <c r="B75">
        <v>18</v>
      </c>
      <c r="C75" t="s">
        <v>8</v>
      </c>
      <c r="D75">
        <v>34</v>
      </c>
      <c r="E75">
        <v>99.4</v>
      </c>
      <c r="F75">
        <v>6</v>
      </c>
      <c r="G75" t="s">
        <v>7</v>
      </c>
    </row>
    <row r="76" spans="1:7" x14ac:dyDescent="0.25">
      <c r="A76">
        <v>68311</v>
      </c>
      <c r="B76">
        <v>14</v>
      </c>
      <c r="C76" t="s">
        <v>6</v>
      </c>
      <c r="D76">
        <v>36</v>
      </c>
      <c r="E76">
        <v>80.900000000000006</v>
      </c>
      <c r="F76">
        <v>10</v>
      </c>
      <c r="G76" t="s">
        <v>9</v>
      </c>
    </row>
    <row r="77" spans="1:7" x14ac:dyDescent="0.25">
      <c r="A77">
        <v>63930</v>
      </c>
      <c r="B77">
        <v>17</v>
      </c>
      <c r="C77" t="s">
        <v>10</v>
      </c>
      <c r="D77">
        <v>60</v>
      </c>
      <c r="E77">
        <v>74.2</v>
      </c>
      <c r="F77">
        <v>27</v>
      </c>
      <c r="G77" t="s">
        <v>7</v>
      </c>
    </row>
    <row r="78" spans="1:7" x14ac:dyDescent="0.25">
      <c r="A78">
        <v>78435</v>
      </c>
      <c r="B78">
        <v>18</v>
      </c>
      <c r="C78" t="s">
        <v>11</v>
      </c>
      <c r="D78">
        <v>36</v>
      </c>
      <c r="E78">
        <v>84.1</v>
      </c>
      <c r="F78">
        <v>10</v>
      </c>
      <c r="G78" t="s">
        <v>7</v>
      </c>
    </row>
    <row r="79" spans="1:7" x14ac:dyDescent="0.25">
      <c r="A79">
        <v>71750</v>
      </c>
      <c r="B79">
        <v>12</v>
      </c>
      <c r="C79" t="s">
        <v>6</v>
      </c>
      <c r="D79">
        <v>46</v>
      </c>
      <c r="E79">
        <v>89.5</v>
      </c>
      <c r="F79">
        <v>22</v>
      </c>
      <c r="G79" t="s">
        <v>9</v>
      </c>
    </row>
    <row r="80" spans="1:7" x14ac:dyDescent="0.25">
      <c r="A80">
        <v>87741</v>
      </c>
      <c r="B80">
        <v>20</v>
      </c>
      <c r="C80" t="s">
        <v>6</v>
      </c>
      <c r="D80">
        <v>47</v>
      </c>
      <c r="E80">
        <v>71.3</v>
      </c>
      <c r="F80">
        <v>23</v>
      </c>
      <c r="G80" t="s">
        <v>9</v>
      </c>
    </row>
    <row r="81" spans="1:7" x14ac:dyDescent="0.25">
      <c r="A81">
        <v>74182</v>
      </c>
      <c r="B81">
        <v>15</v>
      </c>
      <c r="C81" t="s">
        <v>10</v>
      </c>
      <c r="D81">
        <v>40</v>
      </c>
      <c r="E81">
        <v>88.8</v>
      </c>
      <c r="F81">
        <v>13</v>
      </c>
      <c r="G81" t="s">
        <v>9</v>
      </c>
    </row>
    <row r="82" spans="1:7" x14ac:dyDescent="0.25">
      <c r="A82">
        <v>89213</v>
      </c>
      <c r="B82">
        <v>19</v>
      </c>
      <c r="C82" t="s">
        <v>6</v>
      </c>
      <c r="D82">
        <v>40</v>
      </c>
      <c r="E82">
        <v>89.6</v>
      </c>
      <c r="F82">
        <v>13</v>
      </c>
      <c r="G82" t="s">
        <v>7</v>
      </c>
    </row>
    <row r="83" spans="1:7" x14ac:dyDescent="0.25">
      <c r="A83">
        <v>78195</v>
      </c>
      <c r="B83">
        <v>15</v>
      </c>
      <c r="C83" t="s">
        <v>6</v>
      </c>
      <c r="D83">
        <v>44</v>
      </c>
      <c r="E83">
        <v>79.8</v>
      </c>
      <c r="F83">
        <v>14</v>
      </c>
      <c r="G83" t="s">
        <v>9</v>
      </c>
    </row>
    <row r="84" spans="1:7" x14ac:dyDescent="0.25">
      <c r="A84">
        <v>100705</v>
      </c>
      <c r="B84">
        <v>13</v>
      </c>
      <c r="C84" t="s">
        <v>8</v>
      </c>
      <c r="D84">
        <v>54</v>
      </c>
      <c r="E84">
        <v>85.6</v>
      </c>
      <c r="F84">
        <v>23</v>
      </c>
      <c r="G84" t="s">
        <v>7</v>
      </c>
    </row>
    <row r="85" spans="1:7" x14ac:dyDescent="0.25">
      <c r="A85">
        <v>82414</v>
      </c>
      <c r="B85">
        <v>15</v>
      </c>
      <c r="C85" t="s">
        <v>11</v>
      </c>
      <c r="D85">
        <v>35</v>
      </c>
      <c r="E85">
        <v>83.5</v>
      </c>
      <c r="F85">
        <v>11</v>
      </c>
      <c r="G85" t="s">
        <v>7</v>
      </c>
    </row>
    <row r="86" spans="1:7" x14ac:dyDescent="0.25">
      <c r="A86">
        <v>82375</v>
      </c>
      <c r="B86">
        <v>16</v>
      </c>
      <c r="C86" t="s">
        <v>8</v>
      </c>
      <c r="D86">
        <v>36</v>
      </c>
      <c r="E86">
        <v>83.5</v>
      </c>
      <c r="F86">
        <v>12</v>
      </c>
      <c r="G86" t="s">
        <v>7</v>
      </c>
    </row>
    <row r="87" spans="1:7" x14ac:dyDescent="0.25">
      <c r="A87">
        <v>111610</v>
      </c>
      <c r="B87">
        <v>17</v>
      </c>
      <c r="C87" t="s">
        <v>8</v>
      </c>
      <c r="D87">
        <v>48</v>
      </c>
      <c r="E87">
        <v>78.900000000000006</v>
      </c>
      <c r="F87">
        <v>20</v>
      </c>
      <c r="G87" t="s">
        <v>9</v>
      </c>
    </row>
    <row r="88" spans="1:7" x14ac:dyDescent="0.25">
      <c r="A88">
        <v>74597</v>
      </c>
      <c r="B88">
        <v>18</v>
      </c>
      <c r="C88" t="s">
        <v>10</v>
      </c>
      <c r="D88">
        <v>41</v>
      </c>
      <c r="E88">
        <v>76.2</v>
      </c>
      <c r="F88">
        <v>18</v>
      </c>
      <c r="G88" t="s">
        <v>9</v>
      </c>
    </row>
    <row r="89" spans="1:7" x14ac:dyDescent="0.25">
      <c r="A89">
        <v>74619</v>
      </c>
      <c r="B89">
        <v>17</v>
      </c>
      <c r="C89" t="s">
        <v>10</v>
      </c>
      <c r="D89">
        <v>45</v>
      </c>
      <c r="E89">
        <v>81.3</v>
      </c>
      <c r="F89">
        <v>16</v>
      </c>
      <c r="G89" t="s">
        <v>9</v>
      </c>
    </row>
    <row r="90" spans="1:7" x14ac:dyDescent="0.25">
      <c r="A90">
        <v>89237</v>
      </c>
      <c r="B90">
        <v>20</v>
      </c>
      <c r="C90" t="s">
        <v>10</v>
      </c>
      <c r="D90">
        <v>39</v>
      </c>
      <c r="E90">
        <v>87.6</v>
      </c>
      <c r="F90">
        <v>14</v>
      </c>
      <c r="G90" t="s">
        <v>7</v>
      </c>
    </row>
    <row r="91" spans="1:7" x14ac:dyDescent="0.25">
      <c r="A91">
        <v>58964</v>
      </c>
      <c r="B91">
        <v>14</v>
      </c>
      <c r="C91" t="s">
        <v>10</v>
      </c>
      <c r="D91">
        <v>34</v>
      </c>
      <c r="E91">
        <v>84.5</v>
      </c>
      <c r="F91">
        <v>9</v>
      </c>
      <c r="G91" t="s">
        <v>9</v>
      </c>
    </row>
    <row r="92" spans="1:7" x14ac:dyDescent="0.25">
      <c r="A92">
        <v>65824</v>
      </c>
      <c r="B92">
        <v>15</v>
      </c>
      <c r="C92" t="s">
        <v>6</v>
      </c>
      <c r="D92">
        <v>50</v>
      </c>
      <c r="E92">
        <v>83.8</v>
      </c>
      <c r="F92">
        <v>19</v>
      </c>
      <c r="G92" t="s">
        <v>7</v>
      </c>
    </row>
    <row r="93" spans="1:7" x14ac:dyDescent="0.25">
      <c r="A93">
        <v>63459</v>
      </c>
      <c r="B93">
        <v>17</v>
      </c>
      <c r="C93" t="s">
        <v>6</v>
      </c>
      <c r="D93">
        <v>55</v>
      </c>
      <c r="E93">
        <v>82</v>
      </c>
      <c r="F93">
        <v>25</v>
      </c>
      <c r="G93" t="s">
        <v>9</v>
      </c>
    </row>
    <row r="94" spans="1:7" x14ac:dyDescent="0.25">
      <c r="A94">
        <v>68715</v>
      </c>
      <c r="B94">
        <v>17</v>
      </c>
      <c r="C94" t="s">
        <v>6</v>
      </c>
      <c r="D94">
        <v>36</v>
      </c>
      <c r="E94">
        <v>85.8</v>
      </c>
      <c r="F94">
        <v>10</v>
      </c>
      <c r="G94" t="s">
        <v>9</v>
      </c>
    </row>
    <row r="95" spans="1:7" x14ac:dyDescent="0.25">
      <c r="A95">
        <v>56345</v>
      </c>
      <c r="B95">
        <v>12</v>
      </c>
      <c r="C95" t="s">
        <v>6</v>
      </c>
      <c r="D95">
        <v>30</v>
      </c>
      <c r="E95">
        <v>88</v>
      </c>
      <c r="F95">
        <v>5</v>
      </c>
      <c r="G95" t="s">
        <v>9</v>
      </c>
    </row>
    <row r="96" spans="1:7" x14ac:dyDescent="0.25">
      <c r="A96">
        <v>69668</v>
      </c>
      <c r="B96">
        <v>15</v>
      </c>
      <c r="C96" t="s">
        <v>6</v>
      </c>
      <c r="D96">
        <v>41</v>
      </c>
      <c r="E96">
        <v>75.8</v>
      </c>
      <c r="F96">
        <v>14</v>
      </c>
      <c r="G96" t="s">
        <v>9</v>
      </c>
    </row>
    <row r="97" spans="1:7" x14ac:dyDescent="0.25">
      <c r="A97">
        <v>99667</v>
      </c>
      <c r="B97">
        <v>17</v>
      </c>
      <c r="C97" t="s">
        <v>8</v>
      </c>
      <c r="D97">
        <v>40</v>
      </c>
      <c r="E97">
        <v>97.9</v>
      </c>
      <c r="F97">
        <v>11</v>
      </c>
      <c r="G97" t="s">
        <v>9</v>
      </c>
    </row>
    <row r="98" spans="1:7" x14ac:dyDescent="0.25">
      <c r="A98">
        <v>75975</v>
      </c>
      <c r="B98">
        <v>13</v>
      </c>
      <c r="C98" t="s">
        <v>6</v>
      </c>
      <c r="D98">
        <v>44</v>
      </c>
      <c r="E98">
        <v>75.3</v>
      </c>
      <c r="F98">
        <v>20</v>
      </c>
      <c r="G98" t="s">
        <v>9</v>
      </c>
    </row>
    <row r="99" spans="1:7" x14ac:dyDescent="0.25">
      <c r="A99">
        <v>101661</v>
      </c>
      <c r="B99">
        <v>19</v>
      </c>
      <c r="C99" t="s">
        <v>8</v>
      </c>
      <c r="D99">
        <v>48</v>
      </c>
      <c r="E99">
        <v>75.3</v>
      </c>
      <c r="F99">
        <v>20</v>
      </c>
      <c r="G99" t="s">
        <v>9</v>
      </c>
    </row>
    <row r="100" spans="1:7" x14ac:dyDescent="0.25">
      <c r="A100">
        <v>107532</v>
      </c>
      <c r="B100">
        <v>20</v>
      </c>
      <c r="C100" t="s">
        <v>8</v>
      </c>
      <c r="D100">
        <v>56</v>
      </c>
      <c r="E100">
        <v>98.9</v>
      </c>
      <c r="F100">
        <v>24</v>
      </c>
      <c r="G100" t="s">
        <v>7</v>
      </c>
    </row>
    <row r="101" spans="1:7" x14ac:dyDescent="0.25">
      <c r="A101">
        <v>70647</v>
      </c>
      <c r="B101">
        <v>15</v>
      </c>
      <c r="C101" t="s">
        <v>8</v>
      </c>
      <c r="D101">
        <v>38</v>
      </c>
      <c r="E101">
        <v>92.9</v>
      </c>
      <c r="F101">
        <v>14</v>
      </c>
      <c r="G101" t="s">
        <v>9</v>
      </c>
    </row>
    <row r="102" spans="1:7" x14ac:dyDescent="0.25">
      <c r="A102">
        <v>72244</v>
      </c>
      <c r="B102">
        <v>13</v>
      </c>
      <c r="C102" t="s">
        <v>8</v>
      </c>
      <c r="D102">
        <v>32</v>
      </c>
      <c r="E102">
        <v>86</v>
      </c>
      <c r="F102">
        <v>5</v>
      </c>
      <c r="G102" t="s">
        <v>7</v>
      </c>
    </row>
    <row r="103" spans="1:7" x14ac:dyDescent="0.25">
      <c r="A103">
        <v>83112</v>
      </c>
      <c r="B103">
        <v>14</v>
      </c>
      <c r="C103" t="s">
        <v>11</v>
      </c>
      <c r="D103">
        <v>50</v>
      </c>
      <c r="E103">
        <v>86.6</v>
      </c>
      <c r="F103">
        <v>19</v>
      </c>
      <c r="G103" t="s">
        <v>7</v>
      </c>
    </row>
    <row r="104" spans="1:7" x14ac:dyDescent="0.25">
      <c r="A104">
        <v>110800</v>
      </c>
      <c r="B104">
        <v>14</v>
      </c>
      <c r="C104" t="s">
        <v>10</v>
      </c>
      <c r="D104">
        <v>46</v>
      </c>
      <c r="E104">
        <v>87.2</v>
      </c>
      <c r="F104">
        <v>19</v>
      </c>
      <c r="G104" t="s">
        <v>7</v>
      </c>
    </row>
    <row r="105" spans="1:7" x14ac:dyDescent="0.25">
      <c r="A105">
        <v>73918</v>
      </c>
      <c r="B105">
        <v>14</v>
      </c>
      <c r="C105" t="s">
        <v>11</v>
      </c>
      <c r="D105">
        <v>32</v>
      </c>
      <c r="E105">
        <v>97.2</v>
      </c>
      <c r="F105">
        <v>7</v>
      </c>
      <c r="G105" t="s">
        <v>9</v>
      </c>
    </row>
    <row r="106" spans="1:7" x14ac:dyDescent="0.25">
      <c r="A106">
        <v>94079</v>
      </c>
      <c r="B106">
        <v>17</v>
      </c>
      <c r="C106" t="s">
        <v>8</v>
      </c>
      <c r="D106">
        <v>38</v>
      </c>
      <c r="E106">
        <v>95.7</v>
      </c>
      <c r="F106">
        <v>12</v>
      </c>
      <c r="G106" t="s">
        <v>9</v>
      </c>
    </row>
    <row r="107" spans="1:7" x14ac:dyDescent="0.25">
      <c r="A107">
        <v>114380</v>
      </c>
      <c r="B107">
        <v>13</v>
      </c>
      <c r="C107" t="s">
        <v>11</v>
      </c>
      <c r="D107">
        <v>50</v>
      </c>
      <c r="E107">
        <v>85.6</v>
      </c>
      <c r="F107">
        <v>23</v>
      </c>
      <c r="G107" t="s">
        <v>7</v>
      </c>
    </row>
    <row r="108" spans="1:7" x14ac:dyDescent="0.25">
      <c r="A108">
        <v>66320</v>
      </c>
      <c r="B108">
        <v>16</v>
      </c>
      <c r="C108" t="s">
        <v>10</v>
      </c>
      <c r="D108">
        <v>46</v>
      </c>
      <c r="E108">
        <v>84.2</v>
      </c>
      <c r="F108">
        <v>20</v>
      </c>
      <c r="G108" t="s">
        <v>7</v>
      </c>
    </row>
    <row r="109" spans="1:7" x14ac:dyDescent="0.25">
      <c r="A109">
        <v>60040</v>
      </c>
      <c r="B109">
        <v>13</v>
      </c>
      <c r="C109" t="s">
        <v>6</v>
      </c>
      <c r="D109">
        <v>36</v>
      </c>
      <c r="E109">
        <v>87.3</v>
      </c>
      <c r="F109">
        <v>10</v>
      </c>
      <c r="G109" t="s">
        <v>9</v>
      </c>
    </row>
    <row r="110" spans="1:7" x14ac:dyDescent="0.25">
      <c r="A110">
        <v>65220</v>
      </c>
      <c r="B110">
        <v>17</v>
      </c>
      <c r="C110" t="s">
        <v>10</v>
      </c>
      <c r="D110">
        <v>59</v>
      </c>
      <c r="E110">
        <v>81.400000000000006</v>
      </c>
      <c r="F110">
        <v>30</v>
      </c>
      <c r="G110" t="s">
        <v>9</v>
      </c>
    </row>
    <row r="111" spans="1:7" x14ac:dyDescent="0.25">
      <c r="A111">
        <v>108368</v>
      </c>
      <c r="B111">
        <v>20</v>
      </c>
      <c r="C111" t="s">
        <v>11</v>
      </c>
      <c r="D111">
        <v>41</v>
      </c>
      <c r="E111">
        <v>86.9</v>
      </c>
      <c r="F111">
        <v>14</v>
      </c>
      <c r="G111" t="s">
        <v>9</v>
      </c>
    </row>
    <row r="112" spans="1:7" x14ac:dyDescent="0.25">
      <c r="A112">
        <v>88375</v>
      </c>
      <c r="B112">
        <v>15</v>
      </c>
      <c r="C112" t="s">
        <v>11</v>
      </c>
      <c r="D112">
        <v>32</v>
      </c>
      <c r="E112">
        <v>85.2</v>
      </c>
      <c r="F112">
        <v>9</v>
      </c>
      <c r="G112" t="s">
        <v>7</v>
      </c>
    </row>
    <row r="113" spans="1:7" x14ac:dyDescent="0.25">
      <c r="A113">
        <v>58896</v>
      </c>
      <c r="B113">
        <v>14</v>
      </c>
      <c r="C113" t="s">
        <v>10</v>
      </c>
      <c r="D113">
        <v>38</v>
      </c>
      <c r="E113">
        <v>82.3</v>
      </c>
      <c r="F113">
        <v>16</v>
      </c>
      <c r="G113" t="s">
        <v>7</v>
      </c>
    </row>
    <row r="114" spans="1:7" x14ac:dyDescent="0.25">
      <c r="A114">
        <v>90208</v>
      </c>
      <c r="B114">
        <v>15</v>
      </c>
      <c r="C114" t="s">
        <v>8</v>
      </c>
      <c r="D114">
        <v>42</v>
      </c>
      <c r="E114">
        <v>88.2</v>
      </c>
      <c r="F114">
        <v>18</v>
      </c>
      <c r="G114" t="s">
        <v>9</v>
      </c>
    </row>
    <row r="115" spans="1:7" x14ac:dyDescent="0.25">
      <c r="A115">
        <v>83084</v>
      </c>
      <c r="B115">
        <v>14</v>
      </c>
      <c r="C115" t="s">
        <v>8</v>
      </c>
      <c r="D115">
        <v>49</v>
      </c>
      <c r="E115">
        <v>88.6</v>
      </c>
      <c r="F115">
        <v>20</v>
      </c>
      <c r="G115" t="s">
        <v>7</v>
      </c>
    </row>
    <row r="116" spans="1:7" x14ac:dyDescent="0.25">
      <c r="A116">
        <v>82399</v>
      </c>
      <c r="B116">
        <v>16</v>
      </c>
      <c r="C116" t="s">
        <v>10</v>
      </c>
      <c r="D116">
        <v>57</v>
      </c>
      <c r="E116">
        <v>84.3</v>
      </c>
      <c r="F116">
        <v>26</v>
      </c>
      <c r="G116" t="s">
        <v>9</v>
      </c>
    </row>
    <row r="117" spans="1:7" x14ac:dyDescent="0.25">
      <c r="A117">
        <v>72434</v>
      </c>
      <c r="B117">
        <v>14</v>
      </c>
      <c r="C117" t="s">
        <v>6</v>
      </c>
      <c r="D117">
        <v>41</v>
      </c>
      <c r="E117">
        <v>86.9</v>
      </c>
      <c r="F117">
        <v>17</v>
      </c>
      <c r="G117" t="s">
        <v>9</v>
      </c>
    </row>
    <row r="118" spans="1:7" x14ac:dyDescent="0.25">
      <c r="A118">
        <v>81216</v>
      </c>
      <c r="B118">
        <v>15</v>
      </c>
      <c r="C118" t="s">
        <v>8</v>
      </c>
      <c r="D118">
        <v>48</v>
      </c>
      <c r="E118">
        <v>82.2</v>
      </c>
      <c r="F118">
        <v>20</v>
      </c>
      <c r="G118" t="s">
        <v>9</v>
      </c>
    </row>
    <row r="119" spans="1:7" x14ac:dyDescent="0.25">
      <c r="A119">
        <v>111807</v>
      </c>
      <c r="B119">
        <v>15</v>
      </c>
      <c r="C119" t="s">
        <v>8</v>
      </c>
      <c r="D119">
        <v>45</v>
      </c>
      <c r="E119">
        <v>90.8</v>
      </c>
      <c r="F119">
        <v>17</v>
      </c>
      <c r="G119" t="s">
        <v>7</v>
      </c>
    </row>
    <row r="120" spans="1:7" x14ac:dyDescent="0.25">
      <c r="A120">
        <v>76272</v>
      </c>
      <c r="B120">
        <v>12</v>
      </c>
      <c r="C120" t="s">
        <v>8</v>
      </c>
      <c r="D120">
        <v>30</v>
      </c>
      <c r="E120">
        <v>85.3</v>
      </c>
      <c r="F120">
        <v>4</v>
      </c>
      <c r="G120" t="s">
        <v>7</v>
      </c>
    </row>
    <row r="121" spans="1:7" x14ac:dyDescent="0.25">
      <c r="A121">
        <v>74511</v>
      </c>
      <c r="B121">
        <v>19</v>
      </c>
      <c r="C121" t="s">
        <v>6</v>
      </c>
      <c r="D121">
        <v>40</v>
      </c>
      <c r="E121">
        <v>74.2</v>
      </c>
      <c r="F121">
        <v>17</v>
      </c>
      <c r="G121" t="s">
        <v>9</v>
      </c>
    </row>
    <row r="122" spans="1:7" x14ac:dyDescent="0.25">
      <c r="A122">
        <v>88489</v>
      </c>
      <c r="B122">
        <v>17</v>
      </c>
      <c r="C122" t="s">
        <v>8</v>
      </c>
      <c r="D122">
        <v>42</v>
      </c>
      <c r="E122">
        <v>78.099999999999994</v>
      </c>
      <c r="F122">
        <v>18</v>
      </c>
      <c r="G122" t="s">
        <v>9</v>
      </c>
    </row>
    <row r="123" spans="1:7" x14ac:dyDescent="0.25">
      <c r="A123">
        <v>72327</v>
      </c>
      <c r="B123">
        <v>12</v>
      </c>
      <c r="C123" t="s">
        <v>11</v>
      </c>
      <c r="D123">
        <v>30</v>
      </c>
      <c r="E123">
        <v>85</v>
      </c>
      <c r="F123">
        <v>4</v>
      </c>
      <c r="G123" t="s">
        <v>7</v>
      </c>
    </row>
    <row r="124" spans="1:7" x14ac:dyDescent="0.25">
      <c r="A124">
        <v>78510</v>
      </c>
      <c r="B124">
        <v>18</v>
      </c>
      <c r="C124" t="s">
        <v>8</v>
      </c>
      <c r="D124">
        <v>34</v>
      </c>
      <c r="E124">
        <v>84.1</v>
      </c>
      <c r="F124">
        <v>9</v>
      </c>
      <c r="G124" t="s">
        <v>7</v>
      </c>
    </row>
    <row r="125" spans="1:7" x14ac:dyDescent="0.25">
      <c r="A125">
        <v>81151</v>
      </c>
      <c r="B125">
        <v>16</v>
      </c>
      <c r="C125" t="s">
        <v>11</v>
      </c>
      <c r="D125">
        <v>46</v>
      </c>
      <c r="E125">
        <v>82.2</v>
      </c>
      <c r="F125">
        <v>19</v>
      </c>
      <c r="G125" t="s">
        <v>9</v>
      </c>
    </row>
    <row r="126" spans="1:7" x14ac:dyDescent="0.25">
      <c r="A126">
        <v>69608</v>
      </c>
      <c r="B126">
        <v>14</v>
      </c>
      <c r="C126" t="s">
        <v>10</v>
      </c>
      <c r="D126">
        <v>43</v>
      </c>
      <c r="E126">
        <v>73.8</v>
      </c>
      <c r="F126">
        <v>14</v>
      </c>
      <c r="G126" t="s">
        <v>9</v>
      </c>
    </row>
    <row r="127" spans="1:7" x14ac:dyDescent="0.25">
      <c r="A127">
        <v>100283</v>
      </c>
      <c r="B127">
        <v>17</v>
      </c>
      <c r="C127" t="s">
        <v>11</v>
      </c>
      <c r="D127">
        <v>35</v>
      </c>
      <c r="E127">
        <v>67.7</v>
      </c>
      <c r="F127">
        <v>10</v>
      </c>
      <c r="G127" t="s">
        <v>9</v>
      </c>
    </row>
    <row r="128" spans="1:7" x14ac:dyDescent="0.25">
      <c r="A128">
        <v>76891</v>
      </c>
      <c r="B128">
        <v>15</v>
      </c>
      <c r="C128" t="s">
        <v>11</v>
      </c>
      <c r="D128">
        <v>38</v>
      </c>
      <c r="E128">
        <v>76.400000000000006</v>
      </c>
      <c r="F128">
        <v>14</v>
      </c>
      <c r="G128" t="s">
        <v>9</v>
      </c>
    </row>
    <row r="129" spans="1:7" x14ac:dyDescent="0.25">
      <c r="A129">
        <v>92913</v>
      </c>
      <c r="B129">
        <v>14</v>
      </c>
      <c r="C129" t="s">
        <v>11</v>
      </c>
      <c r="D129">
        <v>38</v>
      </c>
      <c r="E129">
        <v>80.599999999999994</v>
      </c>
      <c r="F129">
        <v>9</v>
      </c>
      <c r="G129" t="s">
        <v>9</v>
      </c>
    </row>
    <row r="130" spans="1:7" x14ac:dyDescent="0.25">
      <c r="A130">
        <v>103756</v>
      </c>
      <c r="B130">
        <v>13</v>
      </c>
      <c r="C130" t="s">
        <v>8</v>
      </c>
      <c r="D130">
        <v>53</v>
      </c>
      <c r="E130">
        <v>81.8</v>
      </c>
      <c r="F130">
        <v>22</v>
      </c>
      <c r="G130" t="s">
        <v>9</v>
      </c>
    </row>
    <row r="131" spans="1:7" x14ac:dyDescent="0.25">
      <c r="A131">
        <v>73295</v>
      </c>
      <c r="B131">
        <v>19</v>
      </c>
      <c r="C131" t="s">
        <v>11</v>
      </c>
      <c r="D131">
        <v>32</v>
      </c>
      <c r="E131">
        <v>79.900000000000006</v>
      </c>
      <c r="F131">
        <v>7</v>
      </c>
      <c r="G131" t="s">
        <v>7</v>
      </c>
    </row>
    <row r="132" spans="1:7" x14ac:dyDescent="0.25">
      <c r="A132">
        <v>65859</v>
      </c>
      <c r="B132">
        <v>16</v>
      </c>
      <c r="C132" t="s">
        <v>10</v>
      </c>
      <c r="D132">
        <v>52</v>
      </c>
      <c r="E132">
        <v>84.8</v>
      </c>
      <c r="F132">
        <v>18</v>
      </c>
      <c r="G132" t="s">
        <v>7</v>
      </c>
    </row>
    <row r="133" spans="1:7" x14ac:dyDescent="0.25">
      <c r="A133">
        <v>88430</v>
      </c>
      <c r="B133">
        <v>15</v>
      </c>
      <c r="C133" t="s">
        <v>8</v>
      </c>
      <c r="D133">
        <v>34</v>
      </c>
      <c r="E133">
        <v>83.2</v>
      </c>
      <c r="F133">
        <v>8</v>
      </c>
      <c r="G133" t="s">
        <v>7</v>
      </c>
    </row>
    <row r="134" spans="1:7" x14ac:dyDescent="0.25">
      <c r="A134">
        <v>60052</v>
      </c>
      <c r="B134">
        <v>14</v>
      </c>
      <c r="C134" t="s">
        <v>11</v>
      </c>
      <c r="D134">
        <v>38</v>
      </c>
      <c r="E134">
        <v>80.5</v>
      </c>
      <c r="F134">
        <v>9</v>
      </c>
      <c r="G134" t="s">
        <v>9</v>
      </c>
    </row>
    <row r="135" spans="1:7" x14ac:dyDescent="0.25">
      <c r="A135">
        <v>87191</v>
      </c>
      <c r="B135">
        <v>15</v>
      </c>
      <c r="C135" t="s">
        <v>8</v>
      </c>
      <c r="D135">
        <v>32</v>
      </c>
      <c r="E135">
        <v>91.4</v>
      </c>
      <c r="F135">
        <v>5</v>
      </c>
      <c r="G135" t="s">
        <v>7</v>
      </c>
    </row>
    <row r="136" spans="1:7" x14ac:dyDescent="0.25">
      <c r="A136">
        <v>75522</v>
      </c>
      <c r="B136">
        <v>13</v>
      </c>
      <c r="C136" t="s">
        <v>6</v>
      </c>
      <c r="D136">
        <v>37</v>
      </c>
      <c r="E136">
        <v>93.8</v>
      </c>
      <c r="F136">
        <v>9</v>
      </c>
      <c r="G136" t="s">
        <v>9</v>
      </c>
    </row>
    <row r="137" spans="1:7" x14ac:dyDescent="0.25">
      <c r="A137">
        <v>58833</v>
      </c>
      <c r="B137">
        <v>13</v>
      </c>
      <c r="C137" t="s">
        <v>10</v>
      </c>
      <c r="D137">
        <v>37</v>
      </c>
      <c r="E137">
        <v>71.400000000000006</v>
      </c>
      <c r="F137">
        <v>13</v>
      </c>
      <c r="G137" t="s">
        <v>7</v>
      </c>
    </row>
    <row r="138" spans="1:7" x14ac:dyDescent="0.25">
      <c r="A138">
        <v>88419</v>
      </c>
      <c r="B138">
        <v>16</v>
      </c>
      <c r="C138" t="s">
        <v>11</v>
      </c>
      <c r="D138">
        <v>41</v>
      </c>
      <c r="E138">
        <v>79.099999999999994</v>
      </c>
      <c r="F138">
        <v>18</v>
      </c>
      <c r="G138" t="s">
        <v>9</v>
      </c>
    </row>
    <row r="139" spans="1:7" x14ac:dyDescent="0.25">
      <c r="A139">
        <v>56367</v>
      </c>
      <c r="B139">
        <v>12</v>
      </c>
      <c r="C139" t="s">
        <v>10</v>
      </c>
      <c r="D139">
        <v>32</v>
      </c>
      <c r="E139">
        <v>87</v>
      </c>
      <c r="F139">
        <v>4</v>
      </c>
      <c r="G139" t="s">
        <v>9</v>
      </c>
    </row>
    <row r="140" spans="1:7" x14ac:dyDescent="0.25">
      <c r="A140">
        <v>100266</v>
      </c>
      <c r="B140">
        <v>16</v>
      </c>
      <c r="C140" t="s">
        <v>8</v>
      </c>
      <c r="D140">
        <v>36</v>
      </c>
      <c r="E140">
        <v>69.7</v>
      </c>
      <c r="F140">
        <v>11</v>
      </c>
      <c r="G140" t="s">
        <v>9</v>
      </c>
    </row>
    <row r="141" spans="1:7" x14ac:dyDescent="0.25">
      <c r="A141">
        <v>102911</v>
      </c>
      <c r="B141">
        <v>18</v>
      </c>
      <c r="C141" t="s">
        <v>6</v>
      </c>
      <c r="D141">
        <v>44</v>
      </c>
      <c r="E141">
        <v>91.7</v>
      </c>
      <c r="F141">
        <v>20</v>
      </c>
      <c r="G141" t="s">
        <v>7</v>
      </c>
    </row>
    <row r="142" spans="1:7" x14ac:dyDescent="0.25">
      <c r="A142">
        <v>58986</v>
      </c>
      <c r="B142">
        <v>13</v>
      </c>
      <c r="C142" t="s">
        <v>6</v>
      </c>
      <c r="D142">
        <v>40</v>
      </c>
      <c r="E142">
        <v>81.3</v>
      </c>
      <c r="F142">
        <v>15</v>
      </c>
      <c r="G142" t="s">
        <v>7</v>
      </c>
    </row>
    <row r="143" spans="1:7" x14ac:dyDescent="0.25">
      <c r="A143">
        <v>104843</v>
      </c>
      <c r="B143">
        <v>16</v>
      </c>
      <c r="C143" t="s">
        <v>8</v>
      </c>
      <c r="D143">
        <v>45</v>
      </c>
      <c r="E143">
        <v>77.7</v>
      </c>
      <c r="F143">
        <v>23</v>
      </c>
      <c r="G143" t="s">
        <v>7</v>
      </c>
    </row>
    <row r="144" spans="1:7" x14ac:dyDescent="0.25">
      <c r="A144">
        <v>65317</v>
      </c>
      <c r="B144">
        <v>17</v>
      </c>
      <c r="C144" t="s">
        <v>6</v>
      </c>
      <c r="D144">
        <v>61</v>
      </c>
      <c r="E144">
        <v>81.400000000000006</v>
      </c>
      <c r="F144">
        <v>29</v>
      </c>
      <c r="G144" t="s">
        <v>9</v>
      </c>
    </row>
    <row r="145" spans="1:7" x14ac:dyDescent="0.25">
      <c r="A145">
        <v>58163</v>
      </c>
      <c r="B145">
        <v>14</v>
      </c>
      <c r="C145" t="s">
        <v>6</v>
      </c>
      <c r="D145">
        <v>36</v>
      </c>
      <c r="E145">
        <v>76</v>
      </c>
      <c r="F145">
        <v>11</v>
      </c>
      <c r="G145" t="s">
        <v>9</v>
      </c>
    </row>
    <row r="146" spans="1:7" x14ac:dyDescent="0.25">
      <c r="A146">
        <v>95102</v>
      </c>
      <c r="B146">
        <v>17</v>
      </c>
      <c r="C146" t="s">
        <v>11</v>
      </c>
      <c r="D146">
        <v>44</v>
      </c>
      <c r="E146">
        <v>82</v>
      </c>
      <c r="F146">
        <v>15</v>
      </c>
      <c r="G146" t="s">
        <v>7</v>
      </c>
    </row>
    <row r="147" spans="1:7" x14ac:dyDescent="0.25">
      <c r="A147">
        <v>70750</v>
      </c>
      <c r="B147">
        <v>14</v>
      </c>
      <c r="C147" t="s">
        <v>8</v>
      </c>
      <c r="D147">
        <v>33</v>
      </c>
      <c r="E147">
        <v>93.5</v>
      </c>
      <c r="F147">
        <v>8</v>
      </c>
      <c r="G147" t="s">
        <v>7</v>
      </c>
    </row>
    <row r="148" spans="1:7" x14ac:dyDescent="0.25">
      <c r="A148">
        <v>71722</v>
      </c>
      <c r="B148">
        <v>12</v>
      </c>
      <c r="C148" t="s">
        <v>10</v>
      </c>
      <c r="D148">
        <v>47</v>
      </c>
      <c r="E148">
        <v>88.5</v>
      </c>
      <c r="F148">
        <v>21</v>
      </c>
      <c r="G148" t="s">
        <v>9</v>
      </c>
    </row>
    <row r="149" spans="1:7" x14ac:dyDescent="0.25">
      <c r="A149">
        <v>101650</v>
      </c>
      <c r="B149">
        <v>20</v>
      </c>
      <c r="C149" t="s">
        <v>11</v>
      </c>
      <c r="D149">
        <v>48</v>
      </c>
      <c r="E149">
        <v>77.3</v>
      </c>
      <c r="F149">
        <v>21</v>
      </c>
      <c r="G149" t="s">
        <v>9</v>
      </c>
    </row>
    <row r="150" spans="1:7" x14ac:dyDescent="0.25">
      <c r="A150">
        <v>87821</v>
      </c>
      <c r="B150">
        <v>20</v>
      </c>
      <c r="C150" t="s">
        <v>10</v>
      </c>
      <c r="D150">
        <v>49</v>
      </c>
      <c r="E150">
        <v>73.3</v>
      </c>
      <c r="F150">
        <v>24</v>
      </c>
      <c r="G150" t="s">
        <v>9</v>
      </c>
    </row>
    <row r="151" spans="1:7" x14ac:dyDescent="0.25">
      <c r="A151">
        <v>76312</v>
      </c>
      <c r="B151">
        <v>13</v>
      </c>
      <c r="C151" t="s">
        <v>11</v>
      </c>
      <c r="D151">
        <v>31</v>
      </c>
      <c r="E151">
        <v>87.3</v>
      </c>
      <c r="F151">
        <v>5</v>
      </c>
      <c r="G151" t="s">
        <v>7</v>
      </c>
    </row>
    <row r="152" spans="1:7" x14ac:dyDescent="0.25">
      <c r="A152">
        <v>73309</v>
      </c>
      <c r="B152">
        <v>20</v>
      </c>
      <c r="C152" t="s">
        <v>8</v>
      </c>
      <c r="D152">
        <v>31</v>
      </c>
      <c r="E152">
        <v>78.900000000000006</v>
      </c>
      <c r="F152">
        <v>6</v>
      </c>
      <c r="G152" t="s">
        <v>7</v>
      </c>
    </row>
    <row r="153" spans="1:7" x14ac:dyDescent="0.25">
      <c r="A153">
        <v>107500</v>
      </c>
      <c r="B153">
        <v>20</v>
      </c>
      <c r="C153" t="s">
        <v>11</v>
      </c>
      <c r="D153">
        <v>54</v>
      </c>
      <c r="E153">
        <v>100.9</v>
      </c>
      <c r="F153">
        <v>23</v>
      </c>
      <c r="G153" t="s">
        <v>7</v>
      </c>
    </row>
    <row r="154" spans="1:7" x14ac:dyDescent="0.25">
      <c r="A154">
        <v>66271</v>
      </c>
      <c r="B154">
        <v>15</v>
      </c>
      <c r="C154" t="s">
        <v>6</v>
      </c>
      <c r="D154">
        <v>48</v>
      </c>
      <c r="E154">
        <v>82.2</v>
      </c>
      <c r="F154">
        <v>20</v>
      </c>
      <c r="G154" t="s">
        <v>7</v>
      </c>
    </row>
    <row r="155" spans="1:7" x14ac:dyDescent="0.25">
      <c r="A155">
        <v>89298</v>
      </c>
      <c r="B155">
        <v>15</v>
      </c>
      <c r="C155" t="s">
        <v>8</v>
      </c>
      <c r="D155">
        <v>43</v>
      </c>
      <c r="E155">
        <v>90.5</v>
      </c>
      <c r="F155">
        <v>16</v>
      </c>
      <c r="G155" t="s">
        <v>9</v>
      </c>
    </row>
    <row r="156" spans="1:7" x14ac:dyDescent="0.25">
      <c r="A156">
        <v>68050</v>
      </c>
      <c r="B156">
        <v>17</v>
      </c>
      <c r="C156" t="s">
        <v>10</v>
      </c>
      <c r="D156">
        <v>34</v>
      </c>
      <c r="E156">
        <v>83.7</v>
      </c>
      <c r="F156">
        <v>5</v>
      </c>
      <c r="G156" t="s">
        <v>9</v>
      </c>
    </row>
    <row r="157" spans="1:7" x14ac:dyDescent="0.25">
      <c r="A157">
        <v>81318</v>
      </c>
      <c r="B157">
        <v>16</v>
      </c>
      <c r="C157" t="s">
        <v>8</v>
      </c>
      <c r="D157">
        <v>45</v>
      </c>
      <c r="E157">
        <v>81.099999999999994</v>
      </c>
      <c r="F157">
        <v>17</v>
      </c>
      <c r="G157" t="s">
        <v>7</v>
      </c>
    </row>
    <row r="158" spans="1:7" x14ac:dyDescent="0.25">
      <c r="A158">
        <v>97251</v>
      </c>
      <c r="B158">
        <v>17</v>
      </c>
      <c r="C158" t="s">
        <v>8</v>
      </c>
      <c r="D158">
        <v>41</v>
      </c>
      <c r="E158">
        <v>83.6</v>
      </c>
      <c r="F158">
        <v>12</v>
      </c>
      <c r="G158" t="s">
        <v>9</v>
      </c>
    </row>
    <row r="159" spans="1:7" x14ac:dyDescent="0.25">
      <c r="A159">
        <v>99717</v>
      </c>
      <c r="B159">
        <v>18</v>
      </c>
      <c r="C159" t="s">
        <v>11</v>
      </c>
      <c r="D159">
        <v>40</v>
      </c>
      <c r="E159">
        <v>97.9</v>
      </c>
      <c r="F159">
        <v>12</v>
      </c>
      <c r="G159" t="s">
        <v>9</v>
      </c>
    </row>
    <row r="160" spans="1:7" x14ac:dyDescent="0.25">
      <c r="A160">
        <v>79562</v>
      </c>
      <c r="B160">
        <v>13</v>
      </c>
      <c r="C160" t="s">
        <v>11</v>
      </c>
      <c r="D160">
        <v>34</v>
      </c>
      <c r="E160">
        <v>92.9</v>
      </c>
      <c r="F160">
        <v>7</v>
      </c>
      <c r="G160" t="s">
        <v>7</v>
      </c>
    </row>
    <row r="161" spans="1:7" x14ac:dyDescent="0.25">
      <c r="A161">
        <v>95185</v>
      </c>
      <c r="B161">
        <v>16</v>
      </c>
      <c r="C161" t="s">
        <v>8</v>
      </c>
      <c r="D161">
        <v>42</v>
      </c>
      <c r="E161">
        <v>84</v>
      </c>
      <c r="F161">
        <v>15</v>
      </c>
      <c r="G161" t="s">
        <v>7</v>
      </c>
    </row>
    <row r="162" spans="1:7" x14ac:dyDescent="0.25">
      <c r="A162">
        <v>58203</v>
      </c>
      <c r="B162">
        <v>13</v>
      </c>
      <c r="C162" t="s">
        <v>10</v>
      </c>
      <c r="D162">
        <v>38</v>
      </c>
      <c r="E162">
        <v>77</v>
      </c>
      <c r="F162">
        <v>11</v>
      </c>
      <c r="G162" t="s">
        <v>9</v>
      </c>
    </row>
    <row r="163" spans="1:7" x14ac:dyDescent="0.25">
      <c r="A163">
        <v>60023</v>
      </c>
      <c r="B163">
        <v>15</v>
      </c>
      <c r="C163" t="s">
        <v>8</v>
      </c>
      <c r="D163">
        <v>39</v>
      </c>
      <c r="E163">
        <v>82.5</v>
      </c>
      <c r="F163">
        <v>10</v>
      </c>
      <c r="G163" t="s">
        <v>9</v>
      </c>
    </row>
    <row r="164" spans="1:7" x14ac:dyDescent="0.25">
      <c r="A164">
        <v>73038</v>
      </c>
      <c r="B164">
        <v>14</v>
      </c>
      <c r="C164" t="s">
        <v>6</v>
      </c>
      <c r="D164">
        <v>42</v>
      </c>
      <c r="E164">
        <v>96.1</v>
      </c>
      <c r="F164">
        <v>13</v>
      </c>
      <c r="G164" t="s">
        <v>9</v>
      </c>
    </row>
    <row r="165" spans="1:7" x14ac:dyDescent="0.25">
      <c r="A165">
        <v>93980</v>
      </c>
      <c r="B165">
        <v>17</v>
      </c>
      <c r="C165" t="s">
        <v>11</v>
      </c>
      <c r="D165">
        <v>58</v>
      </c>
      <c r="E165">
        <v>76.7</v>
      </c>
      <c r="F165">
        <v>25</v>
      </c>
      <c r="G165" t="s">
        <v>7</v>
      </c>
    </row>
    <row r="166" spans="1:7" x14ac:dyDescent="0.25">
      <c r="A166">
        <v>80825</v>
      </c>
      <c r="B166">
        <v>17</v>
      </c>
      <c r="C166" t="s">
        <v>11</v>
      </c>
      <c r="D166">
        <v>47</v>
      </c>
      <c r="E166">
        <v>70.3</v>
      </c>
      <c r="F166">
        <v>16</v>
      </c>
      <c r="G166" t="s">
        <v>7</v>
      </c>
    </row>
    <row r="167" spans="1:7" x14ac:dyDescent="0.25">
      <c r="A167">
        <v>81234</v>
      </c>
      <c r="B167">
        <v>15</v>
      </c>
      <c r="C167" t="s">
        <v>11</v>
      </c>
      <c r="D167">
        <v>43</v>
      </c>
      <c r="E167">
        <v>83.1</v>
      </c>
      <c r="F167">
        <v>17</v>
      </c>
      <c r="G167" t="s">
        <v>7</v>
      </c>
    </row>
    <row r="168" spans="1:7" x14ac:dyDescent="0.25">
      <c r="A168">
        <v>58753</v>
      </c>
      <c r="B168">
        <v>14</v>
      </c>
      <c r="C168" t="s">
        <v>6</v>
      </c>
      <c r="D168">
        <v>38</v>
      </c>
      <c r="E168">
        <v>73.400000000000006</v>
      </c>
      <c r="F168">
        <v>14</v>
      </c>
      <c r="G168" t="s">
        <v>7</v>
      </c>
    </row>
    <row r="169" spans="1:7" x14ac:dyDescent="0.25">
      <c r="A169">
        <v>68104</v>
      </c>
      <c r="B169">
        <v>16</v>
      </c>
      <c r="C169" t="s">
        <v>6</v>
      </c>
      <c r="D169">
        <v>34</v>
      </c>
      <c r="E169">
        <v>84.7</v>
      </c>
      <c r="F169">
        <v>6</v>
      </c>
      <c r="G169" t="s">
        <v>9</v>
      </c>
    </row>
    <row r="170" spans="1:7" x14ac:dyDescent="0.25">
      <c r="A170">
        <v>110714</v>
      </c>
      <c r="B170">
        <v>14</v>
      </c>
      <c r="C170" t="s">
        <v>6</v>
      </c>
      <c r="D170">
        <v>45</v>
      </c>
      <c r="E170">
        <v>89.2</v>
      </c>
      <c r="F170">
        <v>19</v>
      </c>
      <c r="G170" t="s">
        <v>7</v>
      </c>
    </row>
    <row r="171" spans="1:7" x14ac:dyDescent="0.25">
      <c r="A171">
        <v>74608</v>
      </c>
      <c r="B171">
        <v>16</v>
      </c>
      <c r="C171" t="s">
        <v>6</v>
      </c>
      <c r="D171">
        <v>43</v>
      </c>
      <c r="E171">
        <v>80.3</v>
      </c>
      <c r="F171">
        <v>17</v>
      </c>
      <c r="G171" t="s">
        <v>9</v>
      </c>
    </row>
  </sheetData>
  <sortState xmlns:xlrd2="http://schemas.microsoft.com/office/spreadsheetml/2017/richdata2" ref="A2:H171">
    <sortCondition ref="H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92B-E9F9-4453-8C5C-E7A5BABA2860}">
  <dimension ref="A2:B9"/>
  <sheetViews>
    <sheetView workbookViewId="0">
      <selection activeCell="B4" sqref="B4"/>
    </sheetView>
  </sheetViews>
  <sheetFormatPr defaultRowHeight="15" x14ac:dyDescent="0.25"/>
  <cols>
    <col min="1" max="1" width="19.85546875" customWidth="1"/>
    <col min="2" max="2" width="69" customWidth="1"/>
  </cols>
  <sheetData>
    <row r="2" spans="1:2" x14ac:dyDescent="0.25">
      <c r="A2" s="2" t="s">
        <v>12</v>
      </c>
      <c r="B2" s="1" t="s">
        <v>13</v>
      </c>
    </row>
    <row r="3" spans="1:2" x14ac:dyDescent="0.25">
      <c r="A3" s="3" t="s">
        <v>14</v>
      </c>
      <c r="B3" t="s">
        <v>15</v>
      </c>
    </row>
    <row r="4" spans="1:2" x14ac:dyDescent="0.25">
      <c r="A4" s="3" t="s">
        <v>16</v>
      </c>
      <c r="B4" t="s">
        <v>17</v>
      </c>
    </row>
    <row r="5" spans="1:2" x14ac:dyDescent="0.25">
      <c r="A5" s="3" t="s">
        <v>1</v>
      </c>
      <c r="B5" t="s">
        <v>18</v>
      </c>
    </row>
    <row r="6" spans="1:2" x14ac:dyDescent="0.25">
      <c r="A6" s="3" t="s">
        <v>2</v>
      </c>
      <c r="B6" t="s">
        <v>19</v>
      </c>
    </row>
    <row r="7" spans="1:2" x14ac:dyDescent="0.25">
      <c r="A7" s="3" t="s">
        <v>3</v>
      </c>
      <c r="B7" t="s">
        <v>20</v>
      </c>
    </row>
    <row r="8" spans="1:2" x14ac:dyDescent="0.25">
      <c r="A8" s="3" t="s">
        <v>4</v>
      </c>
      <c r="B8" t="s">
        <v>21</v>
      </c>
    </row>
    <row r="9" spans="1:2" x14ac:dyDescent="0.25">
      <c r="A9" s="3" t="s">
        <v>5</v>
      </c>
      <c r="B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Tijmen Weber</dc:creator>
  <cp:lastModifiedBy>Tijmen Weber</cp:lastModifiedBy>
  <dcterms:created xsi:type="dcterms:W3CDTF">2015-06-05T18:17:20Z</dcterms:created>
  <dcterms:modified xsi:type="dcterms:W3CDTF">2024-08-22T10:33:28Z</dcterms:modified>
</cp:coreProperties>
</file>